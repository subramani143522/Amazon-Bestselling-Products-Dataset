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urya.G\Downloads\"/>
    </mc:Choice>
  </mc:AlternateContent>
  <xr:revisionPtr revIDLastSave="0" documentId="8_{21DF2AB7-0E41-4BC7-8087-A40A752FC9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vot table" sheetId="2" r:id="rId1"/>
    <sheet name="AMAZON_SALES" sheetId="1" r:id="rId2"/>
  </sheet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1" l="1"/>
  <c r="T8" i="1"/>
  <c r="T7" i="1"/>
  <c r="T6" i="1"/>
  <c r="T5" i="1"/>
  <c r="T4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</calcChain>
</file>

<file path=xl/sharedStrings.xml><?xml version="1.0" encoding="utf-8"?>
<sst xmlns="http://schemas.openxmlformats.org/spreadsheetml/2006/main" count="9648" uniqueCount="1618">
  <si>
    <t>Order_ID</t>
  </si>
  <si>
    <t>Product_Name</t>
  </si>
  <si>
    <t>Category</t>
  </si>
  <si>
    <t>Price</t>
  </si>
  <si>
    <t>Quantity</t>
  </si>
  <si>
    <t>Order_Date</t>
  </si>
  <si>
    <t>City</t>
  </si>
  <si>
    <t>Payment_Method</t>
  </si>
  <si>
    <t>Total_Amount</t>
  </si>
  <si>
    <t>Shipping_Fee</t>
  </si>
  <si>
    <t>Delivery_Status</t>
  </si>
  <si>
    <t>Priority_Order</t>
  </si>
  <si>
    <t>O10000</t>
  </si>
  <si>
    <t>O10001</t>
  </si>
  <si>
    <t>O10002</t>
  </si>
  <si>
    <t>O10003</t>
  </si>
  <si>
    <t>O10004</t>
  </si>
  <si>
    <t>O10005</t>
  </si>
  <si>
    <t>O10006</t>
  </si>
  <si>
    <t>O10007</t>
  </si>
  <si>
    <t>O10008</t>
  </si>
  <si>
    <t>O10009</t>
  </si>
  <si>
    <t>O10010</t>
  </si>
  <si>
    <t>O10011</t>
  </si>
  <si>
    <t>O10012</t>
  </si>
  <si>
    <t>O10013</t>
  </si>
  <si>
    <t>O10014</t>
  </si>
  <si>
    <t>O10015</t>
  </si>
  <si>
    <t>O10016</t>
  </si>
  <si>
    <t>O10017</t>
  </si>
  <si>
    <t>O10018</t>
  </si>
  <si>
    <t>O10019</t>
  </si>
  <si>
    <t>O10020</t>
  </si>
  <si>
    <t>O10021</t>
  </si>
  <si>
    <t>O10022</t>
  </si>
  <si>
    <t>O10023</t>
  </si>
  <si>
    <t>O10024</t>
  </si>
  <si>
    <t>O10025</t>
  </si>
  <si>
    <t>O10026</t>
  </si>
  <si>
    <t>O10027</t>
  </si>
  <si>
    <t>O10028</t>
  </si>
  <si>
    <t>O10029</t>
  </si>
  <si>
    <t>O10030</t>
  </si>
  <si>
    <t>O10031</t>
  </si>
  <si>
    <t>O10032</t>
  </si>
  <si>
    <t>O10033</t>
  </si>
  <si>
    <t>O10034</t>
  </si>
  <si>
    <t>O10035</t>
  </si>
  <si>
    <t>O10036</t>
  </si>
  <si>
    <t>O10037</t>
  </si>
  <si>
    <t>O10038</t>
  </si>
  <si>
    <t>O10039</t>
  </si>
  <si>
    <t>O10040</t>
  </si>
  <si>
    <t>O10041</t>
  </si>
  <si>
    <t>O10042</t>
  </si>
  <si>
    <t>O10043</t>
  </si>
  <si>
    <t>O10044</t>
  </si>
  <si>
    <t>O10045</t>
  </si>
  <si>
    <t>O10046</t>
  </si>
  <si>
    <t>O10047</t>
  </si>
  <si>
    <t>O10048</t>
  </si>
  <si>
    <t>O10049</t>
  </si>
  <si>
    <t>O10050</t>
  </si>
  <si>
    <t>O10051</t>
  </si>
  <si>
    <t>O10052</t>
  </si>
  <si>
    <t>O10053</t>
  </si>
  <si>
    <t>O10054</t>
  </si>
  <si>
    <t>O10055</t>
  </si>
  <si>
    <t>O10056</t>
  </si>
  <si>
    <t>O10057</t>
  </si>
  <si>
    <t>O10058</t>
  </si>
  <si>
    <t>O10059</t>
  </si>
  <si>
    <t>O10060</t>
  </si>
  <si>
    <t>O10061</t>
  </si>
  <si>
    <t>O10062</t>
  </si>
  <si>
    <t>O10063</t>
  </si>
  <si>
    <t>O10064</t>
  </si>
  <si>
    <t>O10065</t>
  </si>
  <si>
    <t>O10066</t>
  </si>
  <si>
    <t>O10067</t>
  </si>
  <si>
    <t>O10068</t>
  </si>
  <si>
    <t>O10069</t>
  </si>
  <si>
    <t>O10070</t>
  </si>
  <si>
    <t>O10071</t>
  </si>
  <si>
    <t>O10072</t>
  </si>
  <si>
    <t>O10073</t>
  </si>
  <si>
    <t>O10074</t>
  </si>
  <si>
    <t>O10075</t>
  </si>
  <si>
    <t>O10076</t>
  </si>
  <si>
    <t>O10077</t>
  </si>
  <si>
    <t>O10078</t>
  </si>
  <si>
    <t>O10079</t>
  </si>
  <si>
    <t>O10080</t>
  </si>
  <si>
    <t>O10081</t>
  </si>
  <si>
    <t>O10082</t>
  </si>
  <si>
    <t>O10083</t>
  </si>
  <si>
    <t>O10084</t>
  </si>
  <si>
    <t>O10085</t>
  </si>
  <si>
    <t>O10086</t>
  </si>
  <si>
    <t>O10087</t>
  </si>
  <si>
    <t>O10088</t>
  </si>
  <si>
    <t>O10089</t>
  </si>
  <si>
    <t>O10090</t>
  </si>
  <si>
    <t>O10091</t>
  </si>
  <si>
    <t>O10092</t>
  </si>
  <si>
    <t>O10093</t>
  </si>
  <si>
    <t>O10094</t>
  </si>
  <si>
    <t>O10095</t>
  </si>
  <si>
    <t>O10096</t>
  </si>
  <si>
    <t>O10097</t>
  </si>
  <si>
    <t>O10098</t>
  </si>
  <si>
    <t>O10099</t>
  </si>
  <si>
    <t>O10100</t>
  </si>
  <si>
    <t>O10101</t>
  </si>
  <si>
    <t>O10102</t>
  </si>
  <si>
    <t>O10103</t>
  </si>
  <si>
    <t>O10104</t>
  </si>
  <si>
    <t>O10105</t>
  </si>
  <si>
    <t>O10106</t>
  </si>
  <si>
    <t>O10107</t>
  </si>
  <si>
    <t>O10108</t>
  </si>
  <si>
    <t>O10109</t>
  </si>
  <si>
    <t>O10110</t>
  </si>
  <si>
    <t>O10111</t>
  </si>
  <si>
    <t>O10112</t>
  </si>
  <si>
    <t>O10113</t>
  </si>
  <si>
    <t>O10114</t>
  </si>
  <si>
    <t>O10115</t>
  </si>
  <si>
    <t>O10116</t>
  </si>
  <si>
    <t>O10117</t>
  </si>
  <si>
    <t>O10118</t>
  </si>
  <si>
    <t>O10119</t>
  </si>
  <si>
    <t>O10120</t>
  </si>
  <si>
    <t>O10121</t>
  </si>
  <si>
    <t>O10122</t>
  </si>
  <si>
    <t>O10123</t>
  </si>
  <si>
    <t>O10124</t>
  </si>
  <si>
    <t>O10125</t>
  </si>
  <si>
    <t>O10126</t>
  </si>
  <si>
    <t>O10127</t>
  </si>
  <si>
    <t>O10128</t>
  </si>
  <si>
    <t>O10129</t>
  </si>
  <si>
    <t>O10130</t>
  </si>
  <si>
    <t>O10131</t>
  </si>
  <si>
    <t>O10132</t>
  </si>
  <si>
    <t>O10133</t>
  </si>
  <si>
    <t>O10134</t>
  </si>
  <si>
    <t>O10135</t>
  </si>
  <si>
    <t>O10136</t>
  </si>
  <si>
    <t>O10137</t>
  </si>
  <si>
    <t>O10138</t>
  </si>
  <si>
    <t>O10139</t>
  </si>
  <si>
    <t>O10140</t>
  </si>
  <si>
    <t>O10141</t>
  </si>
  <si>
    <t>O10142</t>
  </si>
  <si>
    <t>O10143</t>
  </si>
  <si>
    <t>O10144</t>
  </si>
  <si>
    <t>O10145</t>
  </si>
  <si>
    <t>O10146</t>
  </si>
  <si>
    <t>O10147</t>
  </si>
  <si>
    <t>O10148</t>
  </si>
  <si>
    <t>O10149</t>
  </si>
  <si>
    <t>O10150</t>
  </si>
  <si>
    <t>O10151</t>
  </si>
  <si>
    <t>O10152</t>
  </si>
  <si>
    <t>O10153</t>
  </si>
  <si>
    <t>O10154</t>
  </si>
  <si>
    <t>O10155</t>
  </si>
  <si>
    <t>O10156</t>
  </si>
  <si>
    <t>O10157</t>
  </si>
  <si>
    <t>O10158</t>
  </si>
  <si>
    <t>O10159</t>
  </si>
  <si>
    <t>O10160</t>
  </si>
  <si>
    <t>O10161</t>
  </si>
  <si>
    <t>O10162</t>
  </si>
  <si>
    <t>O10163</t>
  </si>
  <si>
    <t>O10164</t>
  </si>
  <si>
    <t>O10165</t>
  </si>
  <si>
    <t>O10166</t>
  </si>
  <si>
    <t>O10167</t>
  </si>
  <si>
    <t>O10168</t>
  </si>
  <si>
    <t>O10169</t>
  </si>
  <si>
    <t>O10170</t>
  </si>
  <si>
    <t>O10171</t>
  </si>
  <si>
    <t>O10172</t>
  </si>
  <si>
    <t>O10173</t>
  </si>
  <si>
    <t>O10174</t>
  </si>
  <si>
    <t>O10175</t>
  </si>
  <si>
    <t>O10176</t>
  </si>
  <si>
    <t>O10177</t>
  </si>
  <si>
    <t>O10178</t>
  </si>
  <si>
    <t>O10179</t>
  </si>
  <si>
    <t>O10180</t>
  </si>
  <si>
    <t>O10181</t>
  </si>
  <si>
    <t>O10182</t>
  </si>
  <si>
    <t>O10183</t>
  </si>
  <si>
    <t>O10184</t>
  </si>
  <si>
    <t>O10185</t>
  </si>
  <si>
    <t>O10186</t>
  </si>
  <si>
    <t>O10187</t>
  </si>
  <si>
    <t>O10188</t>
  </si>
  <si>
    <t>O10189</t>
  </si>
  <si>
    <t>O10190</t>
  </si>
  <si>
    <t>O10191</t>
  </si>
  <si>
    <t>O10192</t>
  </si>
  <si>
    <t>O10193</t>
  </si>
  <si>
    <t>O10194</t>
  </si>
  <si>
    <t>O10195</t>
  </si>
  <si>
    <t>O10196</t>
  </si>
  <si>
    <t>O10197</t>
  </si>
  <si>
    <t>O10198</t>
  </si>
  <si>
    <t>O10199</t>
  </si>
  <si>
    <t>O10200</t>
  </si>
  <si>
    <t>O10201</t>
  </si>
  <si>
    <t>O10202</t>
  </si>
  <si>
    <t>O10203</t>
  </si>
  <si>
    <t>O10204</t>
  </si>
  <si>
    <t>O10205</t>
  </si>
  <si>
    <t>O10206</t>
  </si>
  <si>
    <t>O10207</t>
  </si>
  <si>
    <t>O10208</t>
  </si>
  <si>
    <t>O10209</t>
  </si>
  <si>
    <t>O10210</t>
  </si>
  <si>
    <t>O10211</t>
  </si>
  <si>
    <t>O10212</t>
  </si>
  <si>
    <t>O10213</t>
  </si>
  <si>
    <t>O10214</t>
  </si>
  <si>
    <t>O10215</t>
  </si>
  <si>
    <t>O10216</t>
  </si>
  <si>
    <t>O10217</t>
  </si>
  <si>
    <t>O10218</t>
  </si>
  <si>
    <t>O10219</t>
  </si>
  <si>
    <t>O10220</t>
  </si>
  <si>
    <t>O10221</t>
  </si>
  <si>
    <t>O10222</t>
  </si>
  <si>
    <t>O10223</t>
  </si>
  <si>
    <t>O10224</t>
  </si>
  <si>
    <t>O10225</t>
  </si>
  <si>
    <t>O10226</t>
  </si>
  <si>
    <t>O10227</t>
  </si>
  <si>
    <t>O10228</t>
  </si>
  <si>
    <t>O10229</t>
  </si>
  <si>
    <t>O10230</t>
  </si>
  <si>
    <t>O10231</t>
  </si>
  <si>
    <t>O10232</t>
  </si>
  <si>
    <t>O10233</t>
  </si>
  <si>
    <t>O10234</t>
  </si>
  <si>
    <t>O10235</t>
  </si>
  <si>
    <t>O10236</t>
  </si>
  <si>
    <t>O10237</t>
  </si>
  <si>
    <t>O10238</t>
  </si>
  <si>
    <t>O10239</t>
  </si>
  <si>
    <t>O10240</t>
  </si>
  <si>
    <t>O10241</t>
  </si>
  <si>
    <t>O10242</t>
  </si>
  <si>
    <t>O10243</t>
  </si>
  <si>
    <t>O10244</t>
  </si>
  <si>
    <t>O10245</t>
  </si>
  <si>
    <t>O10246</t>
  </si>
  <si>
    <t>O10247</t>
  </si>
  <si>
    <t>O10248</t>
  </si>
  <si>
    <t>O10249</t>
  </si>
  <si>
    <t>O10250</t>
  </si>
  <si>
    <t>O10251</t>
  </si>
  <si>
    <t>O10252</t>
  </si>
  <si>
    <t>O10253</t>
  </si>
  <si>
    <t>O10254</t>
  </si>
  <si>
    <t>O10255</t>
  </si>
  <si>
    <t>O10256</t>
  </si>
  <si>
    <t>O10257</t>
  </si>
  <si>
    <t>O10258</t>
  </si>
  <si>
    <t>O10259</t>
  </si>
  <si>
    <t>O10260</t>
  </si>
  <si>
    <t>O10261</t>
  </si>
  <si>
    <t>O10262</t>
  </si>
  <si>
    <t>O10263</t>
  </si>
  <si>
    <t>O10264</t>
  </si>
  <si>
    <t>O10265</t>
  </si>
  <si>
    <t>O10266</t>
  </si>
  <si>
    <t>O10267</t>
  </si>
  <si>
    <t>O10268</t>
  </si>
  <si>
    <t>O10269</t>
  </si>
  <si>
    <t>O10270</t>
  </si>
  <si>
    <t>O10271</t>
  </si>
  <si>
    <t>O10272</t>
  </si>
  <si>
    <t>O10273</t>
  </si>
  <si>
    <t>O10274</t>
  </si>
  <si>
    <t>O10275</t>
  </si>
  <si>
    <t>O10276</t>
  </si>
  <si>
    <t>O10277</t>
  </si>
  <si>
    <t>O10278</t>
  </si>
  <si>
    <t>O10279</t>
  </si>
  <si>
    <t>O10280</t>
  </si>
  <si>
    <t>O10281</t>
  </si>
  <si>
    <t>O10282</t>
  </si>
  <si>
    <t>O10283</t>
  </si>
  <si>
    <t>O10284</t>
  </si>
  <si>
    <t>O10285</t>
  </si>
  <si>
    <t>O10286</t>
  </si>
  <si>
    <t>O10287</t>
  </si>
  <si>
    <t>O10288</t>
  </si>
  <si>
    <t>O10289</t>
  </si>
  <si>
    <t>O10290</t>
  </si>
  <si>
    <t>O10291</t>
  </si>
  <si>
    <t>O10292</t>
  </si>
  <si>
    <t>O10293</t>
  </si>
  <si>
    <t>O10294</t>
  </si>
  <si>
    <t>O10295</t>
  </si>
  <si>
    <t>O10296</t>
  </si>
  <si>
    <t>O10297</t>
  </si>
  <si>
    <t>O10298</t>
  </si>
  <si>
    <t>O10299</t>
  </si>
  <si>
    <t>O10300</t>
  </si>
  <si>
    <t>O10301</t>
  </si>
  <si>
    <t>O10302</t>
  </si>
  <si>
    <t>O10303</t>
  </si>
  <si>
    <t>O10304</t>
  </si>
  <si>
    <t>O10305</t>
  </si>
  <si>
    <t>O10306</t>
  </si>
  <si>
    <t>O10307</t>
  </si>
  <si>
    <t>O10308</t>
  </si>
  <si>
    <t>O10309</t>
  </si>
  <si>
    <t>O10310</t>
  </si>
  <si>
    <t>O10311</t>
  </si>
  <si>
    <t>O10312</t>
  </si>
  <si>
    <t>O10313</t>
  </si>
  <si>
    <t>O10314</t>
  </si>
  <si>
    <t>O10315</t>
  </si>
  <si>
    <t>O10316</t>
  </si>
  <si>
    <t>O10317</t>
  </si>
  <si>
    <t>O10318</t>
  </si>
  <si>
    <t>O10319</t>
  </si>
  <si>
    <t>O10320</t>
  </si>
  <si>
    <t>O10321</t>
  </si>
  <si>
    <t>O10322</t>
  </si>
  <si>
    <t>O10323</t>
  </si>
  <si>
    <t>O10324</t>
  </si>
  <si>
    <t>O10325</t>
  </si>
  <si>
    <t>O10326</t>
  </si>
  <si>
    <t>O10327</t>
  </si>
  <si>
    <t>O10328</t>
  </si>
  <si>
    <t>O10329</t>
  </si>
  <si>
    <t>O10330</t>
  </si>
  <si>
    <t>O10331</t>
  </si>
  <si>
    <t>O10332</t>
  </si>
  <si>
    <t>O10333</t>
  </si>
  <si>
    <t>O10334</t>
  </si>
  <si>
    <t>O10335</t>
  </si>
  <si>
    <t>O10336</t>
  </si>
  <si>
    <t>O10337</t>
  </si>
  <si>
    <t>O10338</t>
  </si>
  <si>
    <t>O10339</t>
  </si>
  <si>
    <t>O10340</t>
  </si>
  <si>
    <t>O10341</t>
  </si>
  <si>
    <t>O10342</t>
  </si>
  <si>
    <t>O10343</t>
  </si>
  <si>
    <t>O10344</t>
  </si>
  <si>
    <t>O10345</t>
  </si>
  <si>
    <t>O10346</t>
  </si>
  <si>
    <t>O10347</t>
  </si>
  <si>
    <t>O10348</t>
  </si>
  <si>
    <t>O10349</t>
  </si>
  <si>
    <t>O10350</t>
  </si>
  <si>
    <t>O10351</t>
  </si>
  <si>
    <t>O10352</t>
  </si>
  <si>
    <t>O10353</t>
  </si>
  <si>
    <t>O10354</t>
  </si>
  <si>
    <t>O10355</t>
  </si>
  <si>
    <t>O10356</t>
  </si>
  <si>
    <t>O10357</t>
  </si>
  <si>
    <t>O10358</t>
  </si>
  <si>
    <t>O10359</t>
  </si>
  <si>
    <t>O10360</t>
  </si>
  <si>
    <t>O10361</t>
  </si>
  <si>
    <t>O10362</t>
  </si>
  <si>
    <t>O10363</t>
  </si>
  <si>
    <t>O10364</t>
  </si>
  <si>
    <t>O10365</t>
  </si>
  <si>
    <t>O10366</t>
  </si>
  <si>
    <t>O10367</t>
  </si>
  <si>
    <t>O10368</t>
  </si>
  <si>
    <t>O10369</t>
  </si>
  <si>
    <t>O10370</t>
  </si>
  <si>
    <t>O10371</t>
  </si>
  <si>
    <t>O10372</t>
  </si>
  <si>
    <t>O10373</t>
  </si>
  <si>
    <t>O10374</t>
  </si>
  <si>
    <t>O10375</t>
  </si>
  <si>
    <t>O10376</t>
  </si>
  <si>
    <t>O10377</t>
  </si>
  <si>
    <t>O10378</t>
  </si>
  <si>
    <t>O10379</t>
  </si>
  <si>
    <t>O10380</t>
  </si>
  <si>
    <t>O10381</t>
  </si>
  <si>
    <t>O10382</t>
  </si>
  <si>
    <t>O10383</t>
  </si>
  <si>
    <t>O10384</t>
  </si>
  <si>
    <t>O10385</t>
  </si>
  <si>
    <t>O10386</t>
  </si>
  <si>
    <t>O10387</t>
  </si>
  <si>
    <t>O10388</t>
  </si>
  <si>
    <t>O10389</t>
  </si>
  <si>
    <t>O10390</t>
  </si>
  <si>
    <t>O10391</t>
  </si>
  <si>
    <t>O10392</t>
  </si>
  <si>
    <t>O10393</t>
  </si>
  <si>
    <t>O10394</t>
  </si>
  <si>
    <t>O10395</t>
  </si>
  <si>
    <t>O10396</t>
  </si>
  <si>
    <t>O10397</t>
  </si>
  <si>
    <t>O10398</t>
  </si>
  <si>
    <t>O10399</t>
  </si>
  <si>
    <t>O10400</t>
  </si>
  <si>
    <t>O10401</t>
  </si>
  <si>
    <t>O10402</t>
  </si>
  <si>
    <t>O10403</t>
  </si>
  <si>
    <t>O10404</t>
  </si>
  <si>
    <t>O10405</t>
  </si>
  <si>
    <t>O10406</t>
  </si>
  <si>
    <t>O10407</t>
  </si>
  <si>
    <t>O10408</t>
  </si>
  <si>
    <t>O10409</t>
  </si>
  <si>
    <t>O10410</t>
  </si>
  <si>
    <t>O10411</t>
  </si>
  <si>
    <t>O10412</t>
  </si>
  <si>
    <t>O10413</t>
  </si>
  <si>
    <t>O10414</t>
  </si>
  <si>
    <t>O10415</t>
  </si>
  <si>
    <t>O10416</t>
  </si>
  <si>
    <t>O10417</t>
  </si>
  <si>
    <t>O10418</t>
  </si>
  <si>
    <t>O10419</t>
  </si>
  <si>
    <t>O10420</t>
  </si>
  <si>
    <t>O10421</t>
  </si>
  <si>
    <t>O10422</t>
  </si>
  <si>
    <t>O10423</t>
  </si>
  <si>
    <t>O10424</t>
  </si>
  <si>
    <t>O10425</t>
  </si>
  <si>
    <t>O10426</t>
  </si>
  <si>
    <t>O10427</t>
  </si>
  <si>
    <t>O10428</t>
  </si>
  <si>
    <t>O10429</t>
  </si>
  <si>
    <t>O10430</t>
  </si>
  <si>
    <t>O10431</t>
  </si>
  <si>
    <t>O10432</t>
  </si>
  <si>
    <t>O10433</t>
  </si>
  <si>
    <t>O10434</t>
  </si>
  <si>
    <t>O10435</t>
  </si>
  <si>
    <t>O10436</t>
  </si>
  <si>
    <t>O10437</t>
  </si>
  <si>
    <t>O10438</t>
  </si>
  <si>
    <t>O10439</t>
  </si>
  <si>
    <t>O10440</t>
  </si>
  <si>
    <t>O10441</t>
  </si>
  <si>
    <t>O10442</t>
  </si>
  <si>
    <t>O10443</t>
  </si>
  <si>
    <t>O10444</t>
  </si>
  <si>
    <t>O10445</t>
  </si>
  <si>
    <t>O10446</t>
  </si>
  <si>
    <t>O10447</t>
  </si>
  <si>
    <t>O10448</t>
  </si>
  <si>
    <t>O10449</t>
  </si>
  <si>
    <t>O10450</t>
  </si>
  <si>
    <t>O10451</t>
  </si>
  <si>
    <t>O10452</t>
  </si>
  <si>
    <t>O10453</t>
  </si>
  <si>
    <t>O10454</t>
  </si>
  <si>
    <t>O10455</t>
  </si>
  <si>
    <t>O10456</t>
  </si>
  <si>
    <t>O10457</t>
  </si>
  <si>
    <t>O10458</t>
  </si>
  <si>
    <t>O10459</t>
  </si>
  <si>
    <t>O10460</t>
  </si>
  <si>
    <t>O10461</t>
  </si>
  <si>
    <t>O10462</t>
  </si>
  <si>
    <t>O10463</t>
  </si>
  <si>
    <t>O10464</t>
  </si>
  <si>
    <t>O10465</t>
  </si>
  <si>
    <t>O10466</t>
  </si>
  <si>
    <t>O10467</t>
  </si>
  <si>
    <t>O10468</t>
  </si>
  <si>
    <t>O10469</t>
  </si>
  <si>
    <t>O10470</t>
  </si>
  <si>
    <t>O10471</t>
  </si>
  <si>
    <t>O10472</t>
  </si>
  <si>
    <t>O10473</t>
  </si>
  <si>
    <t>O10474</t>
  </si>
  <si>
    <t>O10475</t>
  </si>
  <si>
    <t>O10476</t>
  </si>
  <si>
    <t>O10477</t>
  </si>
  <si>
    <t>O10478</t>
  </si>
  <si>
    <t>O10479</t>
  </si>
  <si>
    <t>O10480</t>
  </si>
  <si>
    <t>O10481</t>
  </si>
  <si>
    <t>O10482</t>
  </si>
  <si>
    <t>O10483</t>
  </si>
  <si>
    <t>O10484</t>
  </si>
  <si>
    <t>O10485</t>
  </si>
  <si>
    <t>O10486</t>
  </si>
  <si>
    <t>O10487</t>
  </si>
  <si>
    <t>O10488</t>
  </si>
  <si>
    <t>O10489</t>
  </si>
  <si>
    <t>O10490</t>
  </si>
  <si>
    <t>O10491</t>
  </si>
  <si>
    <t>O10492</t>
  </si>
  <si>
    <t>O10493</t>
  </si>
  <si>
    <t>O10494</t>
  </si>
  <si>
    <t>O10495</t>
  </si>
  <si>
    <t>O10496</t>
  </si>
  <si>
    <t>O10497</t>
  </si>
  <si>
    <t>O10498</t>
  </si>
  <si>
    <t>O10499</t>
  </si>
  <si>
    <t>O10500</t>
  </si>
  <si>
    <t>O10501</t>
  </si>
  <si>
    <t>O10502</t>
  </si>
  <si>
    <t>O10503</t>
  </si>
  <si>
    <t>O10504</t>
  </si>
  <si>
    <t>O10505</t>
  </si>
  <si>
    <t>O10506</t>
  </si>
  <si>
    <t>O10507</t>
  </si>
  <si>
    <t>O10508</t>
  </si>
  <si>
    <t>O10509</t>
  </si>
  <si>
    <t>O10510</t>
  </si>
  <si>
    <t>O10511</t>
  </si>
  <si>
    <t>O10512</t>
  </si>
  <si>
    <t>O10513</t>
  </si>
  <si>
    <t>O10514</t>
  </si>
  <si>
    <t>O10515</t>
  </si>
  <si>
    <t>O10516</t>
  </si>
  <si>
    <t>O10517</t>
  </si>
  <si>
    <t>O10518</t>
  </si>
  <si>
    <t>O10519</t>
  </si>
  <si>
    <t>O10520</t>
  </si>
  <si>
    <t>O10521</t>
  </si>
  <si>
    <t>O10522</t>
  </si>
  <si>
    <t>O10523</t>
  </si>
  <si>
    <t>O10524</t>
  </si>
  <si>
    <t>O10525</t>
  </si>
  <si>
    <t>O10526</t>
  </si>
  <si>
    <t>O10527</t>
  </si>
  <si>
    <t>O10528</t>
  </si>
  <si>
    <t>O10529</t>
  </si>
  <si>
    <t>O10530</t>
  </si>
  <si>
    <t>O10531</t>
  </si>
  <si>
    <t>O10532</t>
  </si>
  <si>
    <t>O10533</t>
  </si>
  <si>
    <t>O10534</t>
  </si>
  <si>
    <t>O10535</t>
  </si>
  <si>
    <t>O10536</t>
  </si>
  <si>
    <t>O10537</t>
  </si>
  <si>
    <t>O10538</t>
  </si>
  <si>
    <t>O10539</t>
  </si>
  <si>
    <t>O10540</t>
  </si>
  <si>
    <t>O10541</t>
  </si>
  <si>
    <t>O10542</t>
  </si>
  <si>
    <t>O10543</t>
  </si>
  <si>
    <t>O10544</t>
  </si>
  <si>
    <t>O10545</t>
  </si>
  <si>
    <t>O10546</t>
  </si>
  <si>
    <t>O10547</t>
  </si>
  <si>
    <t>O10548</t>
  </si>
  <si>
    <t>O10549</t>
  </si>
  <si>
    <t>O10550</t>
  </si>
  <si>
    <t>O10551</t>
  </si>
  <si>
    <t>O10552</t>
  </si>
  <si>
    <t>O10553</t>
  </si>
  <si>
    <t>O10554</t>
  </si>
  <si>
    <t>O10555</t>
  </si>
  <si>
    <t>O10556</t>
  </si>
  <si>
    <t>O10557</t>
  </si>
  <si>
    <t>O10558</t>
  </si>
  <si>
    <t>O10559</t>
  </si>
  <si>
    <t>O10560</t>
  </si>
  <si>
    <t>O10561</t>
  </si>
  <si>
    <t>O10562</t>
  </si>
  <si>
    <t>O10563</t>
  </si>
  <si>
    <t>O10564</t>
  </si>
  <si>
    <t>O10565</t>
  </si>
  <si>
    <t>O10566</t>
  </si>
  <si>
    <t>O10567</t>
  </si>
  <si>
    <t>O10568</t>
  </si>
  <si>
    <t>O10569</t>
  </si>
  <si>
    <t>O10570</t>
  </si>
  <si>
    <t>O10571</t>
  </si>
  <si>
    <t>O10572</t>
  </si>
  <si>
    <t>O10573</t>
  </si>
  <si>
    <t>O10574</t>
  </si>
  <si>
    <t>O10575</t>
  </si>
  <si>
    <t>O10576</t>
  </si>
  <si>
    <t>O10577</t>
  </si>
  <si>
    <t>O10578</t>
  </si>
  <si>
    <t>O10579</t>
  </si>
  <si>
    <t>O10580</t>
  </si>
  <si>
    <t>O10581</t>
  </si>
  <si>
    <t>O10582</t>
  </si>
  <si>
    <t>O10583</t>
  </si>
  <si>
    <t>O10584</t>
  </si>
  <si>
    <t>O10585</t>
  </si>
  <si>
    <t>O10586</t>
  </si>
  <si>
    <t>O10587</t>
  </si>
  <si>
    <t>O10588</t>
  </si>
  <si>
    <t>O10589</t>
  </si>
  <si>
    <t>O10590</t>
  </si>
  <si>
    <t>O10591</t>
  </si>
  <si>
    <t>O10592</t>
  </si>
  <si>
    <t>O10593</t>
  </si>
  <si>
    <t>O10594</t>
  </si>
  <si>
    <t>O10595</t>
  </si>
  <si>
    <t>O10596</t>
  </si>
  <si>
    <t>O10597</t>
  </si>
  <si>
    <t>O10598</t>
  </si>
  <si>
    <t>O10599</t>
  </si>
  <si>
    <t>O10600</t>
  </si>
  <si>
    <t>O10601</t>
  </si>
  <si>
    <t>O10602</t>
  </si>
  <si>
    <t>O10603</t>
  </si>
  <si>
    <t>O10604</t>
  </si>
  <si>
    <t>O10605</t>
  </si>
  <si>
    <t>O10606</t>
  </si>
  <si>
    <t>O10607</t>
  </si>
  <si>
    <t>O10608</t>
  </si>
  <si>
    <t>O10609</t>
  </si>
  <si>
    <t>O10610</t>
  </si>
  <si>
    <t>O10611</t>
  </si>
  <si>
    <t>O10612</t>
  </si>
  <si>
    <t>O10613</t>
  </si>
  <si>
    <t>O10614</t>
  </si>
  <si>
    <t>O10615</t>
  </si>
  <si>
    <t>O10616</t>
  </si>
  <si>
    <t>O10617</t>
  </si>
  <si>
    <t>O10618</t>
  </si>
  <si>
    <t>O10619</t>
  </si>
  <si>
    <t>O10620</t>
  </si>
  <si>
    <t>O10621</t>
  </si>
  <si>
    <t>O10622</t>
  </si>
  <si>
    <t>O10623</t>
  </si>
  <si>
    <t>O10624</t>
  </si>
  <si>
    <t>O10625</t>
  </si>
  <si>
    <t>O10626</t>
  </si>
  <si>
    <t>O10627</t>
  </si>
  <si>
    <t>O10628</t>
  </si>
  <si>
    <t>O10629</t>
  </si>
  <si>
    <t>O10630</t>
  </si>
  <si>
    <t>O10631</t>
  </si>
  <si>
    <t>O10632</t>
  </si>
  <si>
    <t>O10633</t>
  </si>
  <si>
    <t>O10634</t>
  </si>
  <si>
    <t>O10635</t>
  </si>
  <si>
    <t>O10636</t>
  </si>
  <si>
    <t>O10637</t>
  </si>
  <si>
    <t>O10638</t>
  </si>
  <si>
    <t>O10639</t>
  </si>
  <si>
    <t>O10640</t>
  </si>
  <si>
    <t>O10641</t>
  </si>
  <si>
    <t>O10642</t>
  </si>
  <si>
    <t>O10643</t>
  </si>
  <si>
    <t>O10644</t>
  </si>
  <si>
    <t>O10645</t>
  </si>
  <si>
    <t>O10646</t>
  </si>
  <si>
    <t>O10647</t>
  </si>
  <si>
    <t>O10648</t>
  </si>
  <si>
    <t>O10649</t>
  </si>
  <si>
    <t>O10650</t>
  </si>
  <si>
    <t>O10651</t>
  </si>
  <si>
    <t>O10652</t>
  </si>
  <si>
    <t>O10653</t>
  </si>
  <si>
    <t>O10654</t>
  </si>
  <si>
    <t>O10655</t>
  </si>
  <si>
    <t>O10656</t>
  </si>
  <si>
    <t>O10657</t>
  </si>
  <si>
    <t>O10658</t>
  </si>
  <si>
    <t>O10659</t>
  </si>
  <si>
    <t>O10660</t>
  </si>
  <si>
    <t>O10661</t>
  </si>
  <si>
    <t>O10662</t>
  </si>
  <si>
    <t>O10663</t>
  </si>
  <si>
    <t>O10664</t>
  </si>
  <si>
    <t>O10665</t>
  </si>
  <si>
    <t>O10666</t>
  </si>
  <si>
    <t>O10667</t>
  </si>
  <si>
    <t>O10668</t>
  </si>
  <si>
    <t>O10669</t>
  </si>
  <si>
    <t>O10670</t>
  </si>
  <si>
    <t>O10671</t>
  </si>
  <si>
    <t>O10672</t>
  </si>
  <si>
    <t>O10673</t>
  </si>
  <si>
    <t>O10674</t>
  </si>
  <si>
    <t>O10675</t>
  </si>
  <si>
    <t>O10676</t>
  </si>
  <si>
    <t>O10677</t>
  </si>
  <si>
    <t>O10678</t>
  </si>
  <si>
    <t>O10679</t>
  </si>
  <si>
    <t>O10680</t>
  </si>
  <si>
    <t>O10681</t>
  </si>
  <si>
    <t>O10682</t>
  </si>
  <si>
    <t>O10683</t>
  </si>
  <si>
    <t>O10684</t>
  </si>
  <si>
    <t>O10685</t>
  </si>
  <si>
    <t>O10686</t>
  </si>
  <si>
    <t>O10687</t>
  </si>
  <si>
    <t>O10688</t>
  </si>
  <si>
    <t>O10689</t>
  </si>
  <si>
    <t>O10690</t>
  </si>
  <si>
    <t>O10691</t>
  </si>
  <si>
    <t>O10692</t>
  </si>
  <si>
    <t>O10693</t>
  </si>
  <si>
    <t>O10694</t>
  </si>
  <si>
    <t>O10695</t>
  </si>
  <si>
    <t>O10696</t>
  </si>
  <si>
    <t>O10697</t>
  </si>
  <si>
    <t>O10698</t>
  </si>
  <si>
    <t>O10699</t>
  </si>
  <si>
    <t>O10700</t>
  </si>
  <si>
    <t>O10701</t>
  </si>
  <si>
    <t>O10702</t>
  </si>
  <si>
    <t>O10703</t>
  </si>
  <si>
    <t>O10704</t>
  </si>
  <si>
    <t>O10705</t>
  </si>
  <si>
    <t>O10706</t>
  </si>
  <si>
    <t>O10707</t>
  </si>
  <si>
    <t>O10708</t>
  </si>
  <si>
    <t>O10709</t>
  </si>
  <si>
    <t>O10710</t>
  </si>
  <si>
    <t>O10711</t>
  </si>
  <si>
    <t>O10712</t>
  </si>
  <si>
    <t>O10713</t>
  </si>
  <si>
    <t>O10714</t>
  </si>
  <si>
    <t>O10715</t>
  </si>
  <si>
    <t>O10716</t>
  </si>
  <si>
    <t>O10717</t>
  </si>
  <si>
    <t>O10718</t>
  </si>
  <si>
    <t>O10719</t>
  </si>
  <si>
    <t>O10720</t>
  </si>
  <si>
    <t>O10721</t>
  </si>
  <si>
    <t>O10722</t>
  </si>
  <si>
    <t>O10723</t>
  </si>
  <si>
    <t>O10724</t>
  </si>
  <si>
    <t>O10725</t>
  </si>
  <si>
    <t>O10726</t>
  </si>
  <si>
    <t>O10727</t>
  </si>
  <si>
    <t>O10728</t>
  </si>
  <si>
    <t>O10729</t>
  </si>
  <si>
    <t>O10730</t>
  </si>
  <si>
    <t>O10731</t>
  </si>
  <si>
    <t>O10732</t>
  </si>
  <si>
    <t>O10733</t>
  </si>
  <si>
    <t>O10734</t>
  </si>
  <si>
    <t>O10735</t>
  </si>
  <si>
    <t>O10736</t>
  </si>
  <si>
    <t>O10737</t>
  </si>
  <si>
    <t>O10738</t>
  </si>
  <si>
    <t>O10739</t>
  </si>
  <si>
    <t>O10740</t>
  </si>
  <si>
    <t>O10741</t>
  </si>
  <si>
    <t>O10742</t>
  </si>
  <si>
    <t>O10743</t>
  </si>
  <si>
    <t>O10744</t>
  </si>
  <si>
    <t>O10745</t>
  </si>
  <si>
    <t>O10746</t>
  </si>
  <si>
    <t>O10747</t>
  </si>
  <si>
    <t>O10748</t>
  </si>
  <si>
    <t>O10749</t>
  </si>
  <si>
    <t>O10750</t>
  </si>
  <si>
    <t>O10751</t>
  </si>
  <si>
    <t>O10752</t>
  </si>
  <si>
    <t>O10753</t>
  </si>
  <si>
    <t>O10754</t>
  </si>
  <si>
    <t>O10755</t>
  </si>
  <si>
    <t>O10756</t>
  </si>
  <si>
    <t>O10757</t>
  </si>
  <si>
    <t>O10758</t>
  </si>
  <si>
    <t>O10759</t>
  </si>
  <si>
    <t>O10760</t>
  </si>
  <si>
    <t>O10761</t>
  </si>
  <si>
    <t>O10762</t>
  </si>
  <si>
    <t>O10763</t>
  </si>
  <si>
    <t>O10764</t>
  </si>
  <si>
    <t>O10765</t>
  </si>
  <si>
    <t>O10766</t>
  </si>
  <si>
    <t>O10767</t>
  </si>
  <si>
    <t>O10768</t>
  </si>
  <si>
    <t>O10769</t>
  </si>
  <si>
    <t>O10770</t>
  </si>
  <si>
    <t>O10771</t>
  </si>
  <si>
    <t>O10772</t>
  </si>
  <si>
    <t>O10773</t>
  </si>
  <si>
    <t>O10774</t>
  </si>
  <si>
    <t>O10775</t>
  </si>
  <si>
    <t>O10776</t>
  </si>
  <si>
    <t>O10777</t>
  </si>
  <si>
    <t>O10778</t>
  </si>
  <si>
    <t>O10779</t>
  </si>
  <si>
    <t>O10780</t>
  </si>
  <si>
    <t>O10781</t>
  </si>
  <si>
    <t>O10782</t>
  </si>
  <si>
    <t>O10783</t>
  </si>
  <si>
    <t>O10784</t>
  </si>
  <si>
    <t>O10785</t>
  </si>
  <si>
    <t>O10786</t>
  </si>
  <si>
    <t>O10787</t>
  </si>
  <si>
    <t>O10788</t>
  </si>
  <si>
    <t>O10789</t>
  </si>
  <si>
    <t>O10790</t>
  </si>
  <si>
    <t>O10791</t>
  </si>
  <si>
    <t>O10792</t>
  </si>
  <si>
    <t>O10793</t>
  </si>
  <si>
    <t>O10794</t>
  </si>
  <si>
    <t>O10795</t>
  </si>
  <si>
    <t>O10796</t>
  </si>
  <si>
    <t>O10797</t>
  </si>
  <si>
    <t>O10798</t>
  </si>
  <si>
    <t>O10799</t>
  </si>
  <si>
    <t>O10800</t>
  </si>
  <si>
    <t>O10801</t>
  </si>
  <si>
    <t>O10802</t>
  </si>
  <si>
    <t>O10803</t>
  </si>
  <si>
    <t>O10804</t>
  </si>
  <si>
    <t>O10805</t>
  </si>
  <si>
    <t>O10806</t>
  </si>
  <si>
    <t>O10807</t>
  </si>
  <si>
    <t>O10808</t>
  </si>
  <si>
    <t>O10809</t>
  </si>
  <si>
    <t>O10810</t>
  </si>
  <si>
    <t>O10811</t>
  </si>
  <si>
    <t>O10812</t>
  </si>
  <si>
    <t>O10813</t>
  </si>
  <si>
    <t>O10814</t>
  </si>
  <si>
    <t>O10815</t>
  </si>
  <si>
    <t>O10816</t>
  </si>
  <si>
    <t>O10817</t>
  </si>
  <si>
    <t>O10818</t>
  </si>
  <si>
    <t>O10819</t>
  </si>
  <si>
    <t>O10820</t>
  </si>
  <si>
    <t>O10821</t>
  </si>
  <si>
    <t>O10822</t>
  </si>
  <si>
    <t>O10823</t>
  </si>
  <si>
    <t>O10824</t>
  </si>
  <si>
    <t>O10825</t>
  </si>
  <si>
    <t>O10826</t>
  </si>
  <si>
    <t>O10827</t>
  </si>
  <si>
    <t>O10828</t>
  </si>
  <si>
    <t>O10829</t>
  </si>
  <si>
    <t>O10830</t>
  </si>
  <si>
    <t>O10831</t>
  </si>
  <si>
    <t>O10832</t>
  </si>
  <si>
    <t>O10833</t>
  </si>
  <si>
    <t>O10834</t>
  </si>
  <si>
    <t>O10835</t>
  </si>
  <si>
    <t>O10836</t>
  </si>
  <si>
    <t>O10837</t>
  </si>
  <si>
    <t>O10838</t>
  </si>
  <si>
    <t>O10839</t>
  </si>
  <si>
    <t>O10840</t>
  </si>
  <si>
    <t>O10841</t>
  </si>
  <si>
    <t>O10842</t>
  </si>
  <si>
    <t>O10843</t>
  </si>
  <si>
    <t>O10844</t>
  </si>
  <si>
    <t>O10845</t>
  </si>
  <si>
    <t>O10846</t>
  </si>
  <si>
    <t>O10847</t>
  </si>
  <si>
    <t>O10848</t>
  </si>
  <si>
    <t>O10849</t>
  </si>
  <si>
    <t>O10850</t>
  </si>
  <si>
    <t>O10851</t>
  </si>
  <si>
    <t>O10852</t>
  </si>
  <si>
    <t>O10853</t>
  </si>
  <si>
    <t>O10854</t>
  </si>
  <si>
    <t>O10855</t>
  </si>
  <si>
    <t>O10856</t>
  </si>
  <si>
    <t>O10857</t>
  </si>
  <si>
    <t>O10858</t>
  </si>
  <si>
    <t>O10859</t>
  </si>
  <si>
    <t>O10860</t>
  </si>
  <si>
    <t>O10861</t>
  </si>
  <si>
    <t>O10862</t>
  </si>
  <si>
    <t>O10863</t>
  </si>
  <si>
    <t>O10864</t>
  </si>
  <si>
    <t>O10865</t>
  </si>
  <si>
    <t>O10866</t>
  </si>
  <si>
    <t>O10867</t>
  </si>
  <si>
    <t>O10868</t>
  </si>
  <si>
    <t>O10869</t>
  </si>
  <si>
    <t>O10870</t>
  </si>
  <si>
    <t>O10871</t>
  </si>
  <si>
    <t>O10872</t>
  </si>
  <si>
    <t>O10873</t>
  </si>
  <si>
    <t>O10874</t>
  </si>
  <si>
    <t>O10875</t>
  </si>
  <si>
    <t>O10876</t>
  </si>
  <si>
    <t>O10877</t>
  </si>
  <si>
    <t>O10878</t>
  </si>
  <si>
    <t>O10879</t>
  </si>
  <si>
    <t>O10880</t>
  </si>
  <si>
    <t>O10881</t>
  </si>
  <si>
    <t>O10882</t>
  </si>
  <si>
    <t>O10883</t>
  </si>
  <si>
    <t>O10884</t>
  </si>
  <si>
    <t>O10885</t>
  </si>
  <si>
    <t>O10886</t>
  </si>
  <si>
    <t>O10887</t>
  </si>
  <si>
    <t>O10888</t>
  </si>
  <si>
    <t>O10889</t>
  </si>
  <si>
    <t>O10890</t>
  </si>
  <si>
    <t>O10891</t>
  </si>
  <si>
    <t>O10892</t>
  </si>
  <si>
    <t>O10893</t>
  </si>
  <si>
    <t>O10894</t>
  </si>
  <si>
    <t>O10895</t>
  </si>
  <si>
    <t>O10896</t>
  </si>
  <si>
    <t>O10897</t>
  </si>
  <si>
    <t>O10898</t>
  </si>
  <si>
    <t>O10899</t>
  </si>
  <si>
    <t>O10900</t>
  </si>
  <si>
    <t>O10901</t>
  </si>
  <si>
    <t>O10902</t>
  </si>
  <si>
    <t>O10903</t>
  </si>
  <si>
    <t>O10904</t>
  </si>
  <si>
    <t>O10905</t>
  </si>
  <si>
    <t>O10906</t>
  </si>
  <si>
    <t>O10907</t>
  </si>
  <si>
    <t>O10908</t>
  </si>
  <si>
    <t>O10909</t>
  </si>
  <si>
    <t>O10910</t>
  </si>
  <si>
    <t>O10911</t>
  </si>
  <si>
    <t>O10912</t>
  </si>
  <si>
    <t>O10913</t>
  </si>
  <si>
    <t>O10914</t>
  </si>
  <si>
    <t>O10915</t>
  </si>
  <si>
    <t>O10916</t>
  </si>
  <si>
    <t>O10917</t>
  </si>
  <si>
    <t>O10918</t>
  </si>
  <si>
    <t>O10919</t>
  </si>
  <si>
    <t>O10920</t>
  </si>
  <si>
    <t>O10921</t>
  </si>
  <si>
    <t>O10922</t>
  </si>
  <si>
    <t>O10923</t>
  </si>
  <si>
    <t>O10924</t>
  </si>
  <si>
    <t>O10925</t>
  </si>
  <si>
    <t>O10926</t>
  </si>
  <si>
    <t>O10927</t>
  </si>
  <si>
    <t>O10928</t>
  </si>
  <si>
    <t>O10929</t>
  </si>
  <si>
    <t>O10930</t>
  </si>
  <si>
    <t>O10931</t>
  </si>
  <si>
    <t>O10932</t>
  </si>
  <si>
    <t>O10933</t>
  </si>
  <si>
    <t>O10934</t>
  </si>
  <si>
    <t>O10935</t>
  </si>
  <si>
    <t>O10936</t>
  </si>
  <si>
    <t>O10937</t>
  </si>
  <si>
    <t>O10938</t>
  </si>
  <si>
    <t>O10939</t>
  </si>
  <si>
    <t>O10940</t>
  </si>
  <si>
    <t>O10941</t>
  </si>
  <si>
    <t>O10942</t>
  </si>
  <si>
    <t>O10943</t>
  </si>
  <si>
    <t>O10944</t>
  </si>
  <si>
    <t>O10945</t>
  </si>
  <si>
    <t>O10946</t>
  </si>
  <si>
    <t>O10947</t>
  </si>
  <si>
    <t>O10948</t>
  </si>
  <si>
    <t>O10949</t>
  </si>
  <si>
    <t>O10950</t>
  </si>
  <si>
    <t>O10951</t>
  </si>
  <si>
    <t>O10952</t>
  </si>
  <si>
    <t>O10953</t>
  </si>
  <si>
    <t>O10954</t>
  </si>
  <si>
    <t>O10955</t>
  </si>
  <si>
    <t>O10956</t>
  </si>
  <si>
    <t>O10957</t>
  </si>
  <si>
    <t>O10958</t>
  </si>
  <si>
    <t>O10959</t>
  </si>
  <si>
    <t>O10960</t>
  </si>
  <si>
    <t>O10961</t>
  </si>
  <si>
    <t>O10962</t>
  </si>
  <si>
    <t>O10963</t>
  </si>
  <si>
    <t>O10964</t>
  </si>
  <si>
    <t>O10965</t>
  </si>
  <si>
    <t>O10966</t>
  </si>
  <si>
    <t>O10967</t>
  </si>
  <si>
    <t>O10968</t>
  </si>
  <si>
    <t>O10969</t>
  </si>
  <si>
    <t>O10970</t>
  </si>
  <si>
    <t>O10971</t>
  </si>
  <si>
    <t>O10972</t>
  </si>
  <si>
    <t>O10973</t>
  </si>
  <si>
    <t>O10974</t>
  </si>
  <si>
    <t>O10975</t>
  </si>
  <si>
    <t>O10976</t>
  </si>
  <si>
    <t>O10977</t>
  </si>
  <si>
    <t>O10978</t>
  </si>
  <si>
    <t>O10979</t>
  </si>
  <si>
    <t>O10980</t>
  </si>
  <si>
    <t>O10981</t>
  </si>
  <si>
    <t>O10982</t>
  </si>
  <si>
    <t>O10983</t>
  </si>
  <si>
    <t>O10984</t>
  </si>
  <si>
    <t>O10985</t>
  </si>
  <si>
    <t>O10986</t>
  </si>
  <si>
    <t>O10987</t>
  </si>
  <si>
    <t>O10988</t>
  </si>
  <si>
    <t>O10989</t>
  </si>
  <si>
    <t>O10990</t>
  </si>
  <si>
    <t>O10991</t>
  </si>
  <si>
    <t>O10992</t>
  </si>
  <si>
    <t>O10993</t>
  </si>
  <si>
    <t>O10994</t>
  </si>
  <si>
    <t>O10995</t>
  </si>
  <si>
    <t>O10996</t>
  </si>
  <si>
    <t>O10997</t>
  </si>
  <si>
    <t>O10998</t>
  </si>
  <si>
    <t>O10999</t>
  </si>
  <si>
    <t>O11000</t>
  </si>
  <si>
    <t>O11001</t>
  </si>
  <si>
    <t>O11002</t>
  </si>
  <si>
    <t>O11003</t>
  </si>
  <si>
    <t>O11004</t>
  </si>
  <si>
    <t>O11005</t>
  </si>
  <si>
    <t>O11006</t>
  </si>
  <si>
    <t>O11007</t>
  </si>
  <si>
    <t>O11008</t>
  </si>
  <si>
    <t>O11009</t>
  </si>
  <si>
    <t>O11010</t>
  </si>
  <si>
    <t>O11011</t>
  </si>
  <si>
    <t>O11012</t>
  </si>
  <si>
    <t>O11013</t>
  </si>
  <si>
    <t>O11014</t>
  </si>
  <si>
    <t>O11015</t>
  </si>
  <si>
    <t>O11016</t>
  </si>
  <si>
    <t>O11017</t>
  </si>
  <si>
    <t>O11018</t>
  </si>
  <si>
    <t>O11019</t>
  </si>
  <si>
    <t>O11020</t>
  </si>
  <si>
    <t>O11021</t>
  </si>
  <si>
    <t>O11022</t>
  </si>
  <si>
    <t>O11023</t>
  </si>
  <si>
    <t>O11024</t>
  </si>
  <si>
    <t>O11025</t>
  </si>
  <si>
    <t>O11026</t>
  </si>
  <si>
    <t>O11027</t>
  </si>
  <si>
    <t>O11028</t>
  </si>
  <si>
    <t>O11029</t>
  </si>
  <si>
    <t>O11030</t>
  </si>
  <si>
    <t>O11031</t>
  </si>
  <si>
    <t>O11032</t>
  </si>
  <si>
    <t>O11033</t>
  </si>
  <si>
    <t>O11034</t>
  </si>
  <si>
    <t>O11035</t>
  </si>
  <si>
    <t>O11036</t>
  </si>
  <si>
    <t>O11037</t>
  </si>
  <si>
    <t>O11038</t>
  </si>
  <si>
    <t>O11039</t>
  </si>
  <si>
    <t>O11040</t>
  </si>
  <si>
    <t>O11041</t>
  </si>
  <si>
    <t>O11042</t>
  </si>
  <si>
    <t>O11043</t>
  </si>
  <si>
    <t>O11044</t>
  </si>
  <si>
    <t>O11045</t>
  </si>
  <si>
    <t>O11046</t>
  </si>
  <si>
    <t>O11047</t>
  </si>
  <si>
    <t>O11048</t>
  </si>
  <si>
    <t>O11049</t>
  </si>
  <si>
    <t>O11050</t>
  </si>
  <si>
    <t>O11051</t>
  </si>
  <si>
    <t>O11052</t>
  </si>
  <si>
    <t>O11053</t>
  </si>
  <si>
    <t>O11054</t>
  </si>
  <si>
    <t>O11055</t>
  </si>
  <si>
    <t>O11056</t>
  </si>
  <si>
    <t>O11057</t>
  </si>
  <si>
    <t>O11058</t>
  </si>
  <si>
    <t>O11059</t>
  </si>
  <si>
    <t>O11060</t>
  </si>
  <si>
    <t>O11061</t>
  </si>
  <si>
    <t>O11062</t>
  </si>
  <si>
    <t>O11063</t>
  </si>
  <si>
    <t>O11064</t>
  </si>
  <si>
    <t>O11065</t>
  </si>
  <si>
    <t>O11066</t>
  </si>
  <si>
    <t>O11067</t>
  </si>
  <si>
    <t>O11068</t>
  </si>
  <si>
    <t>O11069</t>
  </si>
  <si>
    <t>O11070</t>
  </si>
  <si>
    <t>O11071</t>
  </si>
  <si>
    <t>O11072</t>
  </si>
  <si>
    <t>O11073</t>
  </si>
  <si>
    <t>O11074</t>
  </si>
  <si>
    <t>O11075</t>
  </si>
  <si>
    <t>O11076</t>
  </si>
  <si>
    <t>O11077</t>
  </si>
  <si>
    <t>O11078</t>
  </si>
  <si>
    <t>O11079</t>
  </si>
  <si>
    <t>O11080</t>
  </si>
  <si>
    <t>O11081</t>
  </si>
  <si>
    <t>O11082</t>
  </si>
  <si>
    <t>O11083</t>
  </si>
  <si>
    <t>O11084</t>
  </si>
  <si>
    <t>O11085</t>
  </si>
  <si>
    <t>O11086</t>
  </si>
  <si>
    <t>O11087</t>
  </si>
  <si>
    <t>O11088</t>
  </si>
  <si>
    <t>O11089</t>
  </si>
  <si>
    <t>O11090</t>
  </si>
  <si>
    <t>O11091</t>
  </si>
  <si>
    <t>O11092</t>
  </si>
  <si>
    <t>O11093</t>
  </si>
  <si>
    <t>O11094</t>
  </si>
  <si>
    <t>O11095</t>
  </si>
  <si>
    <t>O11096</t>
  </si>
  <si>
    <t>O11097</t>
  </si>
  <si>
    <t>O11098</t>
  </si>
  <si>
    <t>O11099</t>
  </si>
  <si>
    <t>O11100</t>
  </si>
  <si>
    <t>O11101</t>
  </si>
  <si>
    <t>O11102</t>
  </si>
  <si>
    <t>O11103</t>
  </si>
  <si>
    <t>O11104</t>
  </si>
  <si>
    <t>O11105</t>
  </si>
  <si>
    <t>O11106</t>
  </si>
  <si>
    <t>O11107</t>
  </si>
  <si>
    <t>O11108</t>
  </si>
  <si>
    <t>O11109</t>
  </si>
  <si>
    <t>O11110</t>
  </si>
  <si>
    <t>O11111</t>
  </si>
  <si>
    <t>O11112</t>
  </si>
  <si>
    <t>O11113</t>
  </si>
  <si>
    <t>O11114</t>
  </si>
  <si>
    <t>O11115</t>
  </si>
  <si>
    <t>O11116</t>
  </si>
  <si>
    <t>O11117</t>
  </si>
  <si>
    <t>O11118</t>
  </si>
  <si>
    <t>O11119</t>
  </si>
  <si>
    <t>O11120</t>
  </si>
  <si>
    <t>O11121</t>
  </si>
  <si>
    <t>O11122</t>
  </si>
  <si>
    <t>O11123</t>
  </si>
  <si>
    <t>O11124</t>
  </si>
  <si>
    <t>O11125</t>
  </si>
  <si>
    <t>O11126</t>
  </si>
  <si>
    <t>O11127</t>
  </si>
  <si>
    <t>O11128</t>
  </si>
  <si>
    <t>O11129</t>
  </si>
  <si>
    <t>O11130</t>
  </si>
  <si>
    <t>O11131</t>
  </si>
  <si>
    <t>O11132</t>
  </si>
  <si>
    <t>O11133</t>
  </si>
  <si>
    <t>O11134</t>
  </si>
  <si>
    <t>O11135</t>
  </si>
  <si>
    <t>O11136</t>
  </si>
  <si>
    <t>O11137</t>
  </si>
  <si>
    <t>O11138</t>
  </si>
  <si>
    <t>O11139</t>
  </si>
  <si>
    <t>O11140</t>
  </si>
  <si>
    <t>O11141</t>
  </si>
  <si>
    <t>O11142</t>
  </si>
  <si>
    <t>O11143</t>
  </si>
  <si>
    <t>O11144</t>
  </si>
  <si>
    <t>O11145</t>
  </si>
  <si>
    <t>O11146</t>
  </si>
  <si>
    <t>O11147</t>
  </si>
  <si>
    <t>O11148</t>
  </si>
  <si>
    <t>O11149</t>
  </si>
  <si>
    <t>O11150</t>
  </si>
  <si>
    <t>O11151</t>
  </si>
  <si>
    <t>O11152</t>
  </si>
  <si>
    <t>O11153</t>
  </si>
  <si>
    <t>O11154</t>
  </si>
  <si>
    <t>O11155</t>
  </si>
  <si>
    <t>O11156</t>
  </si>
  <si>
    <t>O11157</t>
  </si>
  <si>
    <t>O11158</t>
  </si>
  <si>
    <t>O11159</t>
  </si>
  <si>
    <t>O11160</t>
  </si>
  <si>
    <t>O11161</t>
  </si>
  <si>
    <t>O11162</t>
  </si>
  <si>
    <t>O11163</t>
  </si>
  <si>
    <t>O11164</t>
  </si>
  <si>
    <t>O11165</t>
  </si>
  <si>
    <t>O11166</t>
  </si>
  <si>
    <t>O11167</t>
  </si>
  <si>
    <t>O11168</t>
  </si>
  <si>
    <t>O11169</t>
  </si>
  <si>
    <t>O11170</t>
  </si>
  <si>
    <t>O11171</t>
  </si>
  <si>
    <t>O11172</t>
  </si>
  <si>
    <t>O11173</t>
  </si>
  <si>
    <t>O11174</t>
  </si>
  <si>
    <t>O11175</t>
  </si>
  <si>
    <t>O11176</t>
  </si>
  <si>
    <t>O11177</t>
  </si>
  <si>
    <t>O11178</t>
  </si>
  <si>
    <t>O11179</t>
  </si>
  <si>
    <t>O11180</t>
  </si>
  <si>
    <t>O11181</t>
  </si>
  <si>
    <t>O11182</t>
  </si>
  <si>
    <t>O11183</t>
  </si>
  <si>
    <t>O11184</t>
  </si>
  <si>
    <t>O11185</t>
  </si>
  <si>
    <t>O11186</t>
  </si>
  <si>
    <t>O11187</t>
  </si>
  <si>
    <t>O11188</t>
  </si>
  <si>
    <t>O11189</t>
  </si>
  <si>
    <t>O11190</t>
  </si>
  <si>
    <t>O11191</t>
  </si>
  <si>
    <t>O11192</t>
  </si>
  <si>
    <t>O11193</t>
  </si>
  <si>
    <t>O11194</t>
  </si>
  <si>
    <t>O11195</t>
  </si>
  <si>
    <t>O11196</t>
  </si>
  <si>
    <t>O11197</t>
  </si>
  <si>
    <t>O11198</t>
  </si>
  <si>
    <t>O11199</t>
  </si>
  <si>
    <t>Water Bottle</t>
  </si>
  <si>
    <t>Wireless Earbuds</t>
  </si>
  <si>
    <t>Backpack</t>
  </si>
  <si>
    <t>Coffee Mug</t>
  </si>
  <si>
    <t>Desk Organizer</t>
  </si>
  <si>
    <t>Power Bank</t>
  </si>
  <si>
    <t>Smartphone Case</t>
  </si>
  <si>
    <t>LED Bulb</t>
  </si>
  <si>
    <t>Fitness Band</t>
  </si>
  <si>
    <t>USB Cable</t>
  </si>
  <si>
    <t>Laptop Stand</t>
  </si>
  <si>
    <t>Bluetooth Speaker</t>
  </si>
  <si>
    <t>Lifestyle</t>
  </si>
  <si>
    <t>Fitness</t>
  </si>
  <si>
    <t>Home</t>
  </si>
  <si>
    <t>Accessories</t>
  </si>
  <si>
    <t>Electronics</t>
  </si>
  <si>
    <t>2023-12-15</t>
  </si>
  <si>
    <t>2023-03-30</t>
  </si>
  <si>
    <t>2023-02-25</t>
  </si>
  <si>
    <t>2023-09-08</t>
  </si>
  <si>
    <t>2023-01-24</t>
  </si>
  <si>
    <t>2023-09-05</t>
  </si>
  <si>
    <t>2023-06-27</t>
  </si>
  <si>
    <t>2023-06-09</t>
  </si>
  <si>
    <t>2023-11-26</t>
  </si>
  <si>
    <t>2023-06-07</t>
  </si>
  <si>
    <t>2023-04-24</t>
  </si>
  <si>
    <t>2023-12-02</t>
  </si>
  <si>
    <t>2023-06-28</t>
  </si>
  <si>
    <t>2023-04-29</t>
  </si>
  <si>
    <t>2023-04-11</t>
  </si>
  <si>
    <t>2023-01-04</t>
  </si>
  <si>
    <t>2023-10-24</t>
  </si>
  <si>
    <t>2023-04-08</t>
  </si>
  <si>
    <t>2023-06-12</t>
  </si>
  <si>
    <t>2023-01-02</t>
  </si>
  <si>
    <t>2023-12-06</t>
  </si>
  <si>
    <t>2023-01-23</t>
  </si>
  <si>
    <t>2023-04-13</t>
  </si>
  <si>
    <t>2023-08-10</t>
  </si>
  <si>
    <t>2023-12-13</t>
  </si>
  <si>
    <t>2023-02-17</t>
  </si>
  <si>
    <t>2023-11-27</t>
  </si>
  <si>
    <t>2023-03-13</t>
  </si>
  <si>
    <t>2023-03-25</t>
  </si>
  <si>
    <t>2023-11-24</t>
  </si>
  <si>
    <t>2023-01-14</t>
  </si>
  <si>
    <t>2023-08-31</t>
  </si>
  <si>
    <t>2023-05-18</t>
  </si>
  <si>
    <t>2023-10-18</t>
  </si>
  <si>
    <t>2023-07-14</t>
  </si>
  <si>
    <t>2023-09-20</t>
  </si>
  <si>
    <t>2023-03-02</t>
  </si>
  <si>
    <t>2023-10-29</t>
  </si>
  <si>
    <t>2023-11-21</t>
  </si>
  <si>
    <t>2023-12-26</t>
  </si>
  <si>
    <t>2023-03-21</t>
  </si>
  <si>
    <t>2023-02-12</t>
  </si>
  <si>
    <t>2023-03-22</t>
  </si>
  <si>
    <t>2023-12-19</t>
  </si>
  <si>
    <t>2023-03-24</t>
  </si>
  <si>
    <t>2023-10-25</t>
  </si>
  <si>
    <t>2023-04-21</t>
  </si>
  <si>
    <t>2023-04-23</t>
  </si>
  <si>
    <t>2023-08-22</t>
  </si>
  <si>
    <t>2023-07-26</t>
  </si>
  <si>
    <t>2023-12-28</t>
  </si>
  <si>
    <t>2023-01-08</t>
  </si>
  <si>
    <t>2023-09-15</t>
  </si>
  <si>
    <t>2023-02-08</t>
  </si>
  <si>
    <t>2023-10-09</t>
  </si>
  <si>
    <t>2023-10-14</t>
  </si>
  <si>
    <t>2023-09-28</t>
  </si>
  <si>
    <t>2023-05-30</t>
  </si>
  <si>
    <t>2023-05-11</t>
  </si>
  <si>
    <t>2023-09-30</t>
  </si>
  <si>
    <t>2023-05-01</t>
  </si>
  <si>
    <t>2023-05-17</t>
  </si>
  <si>
    <t>2023-03-14</t>
  </si>
  <si>
    <t>2023-04-30</t>
  </si>
  <si>
    <t>2023-01-15</t>
  </si>
  <si>
    <t>2023-11-07</t>
  </si>
  <si>
    <t>2023-05-06</t>
  </si>
  <si>
    <t>2023-01-06</t>
  </si>
  <si>
    <t>2023-05-12</t>
  </si>
  <si>
    <t>2023-02-18</t>
  </si>
  <si>
    <t>2023-09-13</t>
  </si>
  <si>
    <t>2023-06-11</t>
  </si>
  <si>
    <t>2023-09-07</t>
  </si>
  <si>
    <t>2023-08-15</t>
  </si>
  <si>
    <t>2023-05-29</t>
  </si>
  <si>
    <t>2023-01-09</t>
  </si>
  <si>
    <t>2023-01-05</t>
  </si>
  <si>
    <t>2023-07-15</t>
  </si>
  <si>
    <t>2023-05-20</t>
  </si>
  <si>
    <t>2023-05-08</t>
  </si>
  <si>
    <t>2023-10-15</t>
  </si>
  <si>
    <t>2023-03-26</t>
  </si>
  <si>
    <t>2023-09-09</t>
  </si>
  <si>
    <t>2023-05-25</t>
  </si>
  <si>
    <t>2023-01-18</t>
  </si>
  <si>
    <t>2023-09-29</t>
  </si>
  <si>
    <t>2023-01-10</t>
  </si>
  <si>
    <t>2023-10-07</t>
  </si>
  <si>
    <t>2023-02-16</t>
  </si>
  <si>
    <t>2023-09-11</t>
  </si>
  <si>
    <t>2023-01-11</t>
  </si>
  <si>
    <t>2023-12-07</t>
  </si>
  <si>
    <t>2023-03-15</t>
  </si>
  <si>
    <t>2023-10-11</t>
  </si>
  <si>
    <t>2023-08-25</t>
  </si>
  <si>
    <t>2023-05-02</t>
  </si>
  <si>
    <t>2023-04-05</t>
  </si>
  <si>
    <t>2023-06-25</t>
  </si>
  <si>
    <t>2023-02-21</t>
  </si>
  <si>
    <t>2023-12-27</t>
  </si>
  <si>
    <t>2023-07-28</t>
  </si>
  <si>
    <t>2023-11-12</t>
  </si>
  <si>
    <t>2023-08-08</t>
  </si>
  <si>
    <t>2023-07-22</t>
  </si>
  <si>
    <t>2023-07-29</t>
  </si>
  <si>
    <t>2023-11-08</t>
  </si>
  <si>
    <t>2023-10-08</t>
  </si>
  <si>
    <t>2023-08-11</t>
  </si>
  <si>
    <t>2023-12-03</t>
  </si>
  <si>
    <t>2023-07-25</t>
  </si>
  <si>
    <t>2023-09-06</t>
  </si>
  <si>
    <t>2023-07-13</t>
  </si>
  <si>
    <t>2023-11-29</t>
  </si>
  <si>
    <t>2023-03-20</t>
  </si>
  <si>
    <t>2023-12-14</t>
  </si>
  <si>
    <t>2023-01-28</t>
  </si>
  <si>
    <t>2023-02-28</t>
  </si>
  <si>
    <t>2023-04-17</t>
  </si>
  <si>
    <t>2023-07-23</t>
  </si>
  <si>
    <t>2023-08-29</t>
  </si>
  <si>
    <t>2023-06-10</t>
  </si>
  <si>
    <t>2023-01-25</t>
  </si>
  <si>
    <t>2023-12-11</t>
  </si>
  <si>
    <t>2023-03-28</t>
  </si>
  <si>
    <t>2023-01-30</t>
  </si>
  <si>
    <t>2023-01-17</t>
  </si>
  <si>
    <t>2023-04-04</t>
  </si>
  <si>
    <t>2023-10-01</t>
  </si>
  <si>
    <t>2023-01-13</t>
  </si>
  <si>
    <t>2023-11-13</t>
  </si>
  <si>
    <t>2023-02-14</t>
  </si>
  <si>
    <t>2023-05-24</t>
  </si>
  <si>
    <t>2023-07-04</t>
  </si>
  <si>
    <t>2023-02-22</t>
  </si>
  <si>
    <t>2023-03-31</t>
  </si>
  <si>
    <t>2023-11-16</t>
  </si>
  <si>
    <t>2023-01-01</t>
  </si>
  <si>
    <t>2023-10-28</t>
  </si>
  <si>
    <t>2023-06-29</t>
  </si>
  <si>
    <t>2023-02-10</t>
  </si>
  <si>
    <t>2023-10-13</t>
  </si>
  <si>
    <t>2023-06-23</t>
  </si>
  <si>
    <t>2023-08-28</t>
  </si>
  <si>
    <t>2023-11-11</t>
  </si>
  <si>
    <t>2023-04-01</t>
  </si>
  <si>
    <t>2023-03-27</t>
  </si>
  <si>
    <t>2023-07-07</t>
  </si>
  <si>
    <t>2023-12-17</t>
  </si>
  <si>
    <t>2023-07-30</t>
  </si>
  <si>
    <t>2023-10-10</t>
  </si>
  <si>
    <t>2023-07-03</t>
  </si>
  <si>
    <t>2023-11-09</t>
  </si>
  <si>
    <t>2023-12-05</t>
  </si>
  <si>
    <t>2023-04-27</t>
  </si>
  <si>
    <t>2023-06-05</t>
  </si>
  <si>
    <t>2023-07-16</t>
  </si>
  <si>
    <t>2023-06-21</t>
  </si>
  <si>
    <t>2023-10-23</t>
  </si>
  <si>
    <t>2023-12-16</t>
  </si>
  <si>
    <t>2023-09-22</t>
  </si>
  <si>
    <t>2023-03-01</t>
  </si>
  <si>
    <t>2023-04-28</t>
  </si>
  <si>
    <t>2023-07-09</t>
  </si>
  <si>
    <t>2023-08-26</t>
  </si>
  <si>
    <t>2023-08-02</t>
  </si>
  <si>
    <t>2023-04-26</t>
  </si>
  <si>
    <t>2023-08-03</t>
  </si>
  <si>
    <t>2023-01-21</t>
  </si>
  <si>
    <t>2023-11-10</t>
  </si>
  <si>
    <t>2023-09-27</t>
  </si>
  <si>
    <t>2023-12-01</t>
  </si>
  <si>
    <t>2023-09-12</t>
  </si>
  <si>
    <t>2023-12-08</t>
  </si>
  <si>
    <t>2023-10-31</t>
  </si>
  <si>
    <t>2023-07-20</t>
  </si>
  <si>
    <t>2023-04-14</t>
  </si>
  <si>
    <t>2023-05-05</t>
  </si>
  <si>
    <t>2023-10-21</t>
  </si>
  <si>
    <t>2023-03-06</t>
  </si>
  <si>
    <t>2023-03-17</t>
  </si>
  <si>
    <t>2023-11-02</t>
  </si>
  <si>
    <t>2023-05-10</t>
  </si>
  <si>
    <t>2023-01-12</t>
  </si>
  <si>
    <t>2023-12-31</t>
  </si>
  <si>
    <t>2023-01-26</t>
  </si>
  <si>
    <t>2023-06-03</t>
  </si>
  <si>
    <t>2023-05-23</t>
  </si>
  <si>
    <t>2023-12-10</t>
  </si>
  <si>
    <t>2023-08-14</t>
  </si>
  <si>
    <t>2023-05-19</t>
  </si>
  <si>
    <t>2023-10-04</t>
  </si>
  <si>
    <t>2023-03-10</t>
  </si>
  <si>
    <t>2023-03-11</t>
  </si>
  <si>
    <t>2023-10-27</t>
  </si>
  <si>
    <t>2023-02-19</t>
  </si>
  <si>
    <t>2023-03-29</t>
  </si>
  <si>
    <t>2023-01-16</t>
  </si>
  <si>
    <t>2023-07-01</t>
  </si>
  <si>
    <t>2023-07-24</t>
  </si>
  <si>
    <t>2023-03-18</t>
  </si>
  <si>
    <t>2023-06-18</t>
  </si>
  <si>
    <t>2023-12-22</t>
  </si>
  <si>
    <t>2023-08-05</t>
  </si>
  <si>
    <t>2023-04-18</t>
  </si>
  <si>
    <t>2023-03-07</t>
  </si>
  <si>
    <t>2023-07-17</t>
  </si>
  <si>
    <t>2023-04-22</t>
  </si>
  <si>
    <t>2023-04-19</t>
  </si>
  <si>
    <t>2023-06-15</t>
  </si>
  <si>
    <t>2023-07-11</t>
  </si>
  <si>
    <t>2023-03-03</t>
  </si>
  <si>
    <t>2023-02-24</t>
  </si>
  <si>
    <t>2023-07-21</t>
  </si>
  <si>
    <t>2023-05-27</t>
  </si>
  <si>
    <t>2023-09-14</t>
  </si>
  <si>
    <t>2023-09-23</t>
  </si>
  <si>
    <t>2023-08-18</t>
  </si>
  <si>
    <t>2023-07-19</t>
  </si>
  <si>
    <t>2023-01-20</t>
  </si>
  <si>
    <t>2023-07-06</t>
  </si>
  <si>
    <t>2023-02-23</t>
  </si>
  <si>
    <t>2023-05-13</t>
  </si>
  <si>
    <t>2023-09-21</t>
  </si>
  <si>
    <t>2023-02-13</t>
  </si>
  <si>
    <t>2023-02-06</t>
  </si>
  <si>
    <t>2023-05-07</t>
  </si>
  <si>
    <t>2023-10-22</t>
  </si>
  <si>
    <t>2023-11-28</t>
  </si>
  <si>
    <t>2023-11-17</t>
  </si>
  <si>
    <t>2023-09-10</t>
  </si>
  <si>
    <t>2023-02-20</t>
  </si>
  <si>
    <t>2023-08-21</t>
  </si>
  <si>
    <t>2023-11-25</t>
  </si>
  <si>
    <t>2023-08-16</t>
  </si>
  <si>
    <t>2023-03-08</t>
  </si>
  <si>
    <t>2023-11-30</t>
  </si>
  <si>
    <t>2023-01-07</t>
  </si>
  <si>
    <t>2023-08-09</t>
  </si>
  <si>
    <t>2023-07-08</t>
  </si>
  <si>
    <t>2023-10-17</t>
  </si>
  <si>
    <t>2023-10-06</t>
  </si>
  <si>
    <t>2023-11-14</t>
  </si>
  <si>
    <t>2023-03-04</t>
  </si>
  <si>
    <t>2023-05-04</t>
  </si>
  <si>
    <t>2023-08-23</t>
  </si>
  <si>
    <t>2023-08-27</t>
  </si>
  <si>
    <t>2023-12-29</t>
  </si>
  <si>
    <t>2023-07-27</t>
  </si>
  <si>
    <t>2023-10-05</t>
  </si>
  <si>
    <t>2023-01-19</t>
  </si>
  <si>
    <t>2023-05-22</t>
  </si>
  <si>
    <t>2023-10-19</t>
  </si>
  <si>
    <t>2023-05-09</t>
  </si>
  <si>
    <t>2023-09-26</t>
  </si>
  <si>
    <t>2023-04-25</t>
  </si>
  <si>
    <t>2023-12-24</t>
  </si>
  <si>
    <t>2023-11-06</t>
  </si>
  <si>
    <t>2023-08-13</t>
  </si>
  <si>
    <t>2023-06-14</t>
  </si>
  <si>
    <t>2023-02-03</t>
  </si>
  <si>
    <t>2023-10-26</t>
  </si>
  <si>
    <t>2023-06-22</t>
  </si>
  <si>
    <t>2023-09-03</t>
  </si>
  <si>
    <t>2023-04-10</t>
  </si>
  <si>
    <t>2023-08-12</t>
  </si>
  <si>
    <t>2023-02-11</t>
  </si>
  <si>
    <t>2023-07-10</t>
  </si>
  <si>
    <t>2023-01-27</t>
  </si>
  <si>
    <t>2023-07-31</t>
  </si>
  <si>
    <t>2023-01-29</t>
  </si>
  <si>
    <t>2023-02-09</t>
  </si>
  <si>
    <t>2023-10-30</t>
  </si>
  <si>
    <t>2023-02-04</t>
  </si>
  <si>
    <t>2023-10-16</t>
  </si>
  <si>
    <t>2023-11-20</t>
  </si>
  <si>
    <t>2023-02-15</t>
  </si>
  <si>
    <t>2023-06-16</t>
  </si>
  <si>
    <t>2023-03-05</t>
  </si>
  <si>
    <t>2023-07-12</t>
  </si>
  <si>
    <t>2023-05-15</t>
  </si>
  <si>
    <t>2023-08-30</t>
  </si>
  <si>
    <t>2023-07-02</t>
  </si>
  <si>
    <t>2023-08-04</t>
  </si>
  <si>
    <t>2023-06-13</t>
  </si>
  <si>
    <t>2023-06-19</t>
  </si>
  <si>
    <t>2023-05-21</t>
  </si>
  <si>
    <t>2023-01-03</t>
  </si>
  <si>
    <t>2023-04-16</t>
  </si>
  <si>
    <t>2023-06-02</t>
  </si>
  <si>
    <t>2023-06-01</t>
  </si>
  <si>
    <t>2023-09-25</t>
  </si>
  <si>
    <t>2023-10-20</t>
  </si>
  <si>
    <t>2023-11-05</t>
  </si>
  <si>
    <t>2023-06-08</t>
  </si>
  <si>
    <t>2023-10-02</t>
  </si>
  <si>
    <t>2023-04-20</t>
  </si>
  <si>
    <t>2023-08-07</t>
  </si>
  <si>
    <t>2023-12-20</t>
  </si>
  <si>
    <t>2023-11-01</t>
  </si>
  <si>
    <t>2023-01-31</t>
  </si>
  <si>
    <t>2023-09-02</t>
  </si>
  <si>
    <t>2023-12-09</t>
  </si>
  <si>
    <t>2023-09-17</t>
  </si>
  <si>
    <t>2023-08-17</t>
  </si>
  <si>
    <t>2023-09-18</t>
  </si>
  <si>
    <t>2023-03-16</t>
  </si>
  <si>
    <t>2023-04-09</t>
  </si>
  <si>
    <t>2023-02-02</t>
  </si>
  <si>
    <t>2023-12-18</t>
  </si>
  <si>
    <t>2023-01-22</t>
  </si>
  <si>
    <t>2023-06-20</t>
  </si>
  <si>
    <t>2023-04-03</t>
  </si>
  <si>
    <t>2023-04-07</t>
  </si>
  <si>
    <t>2023-02-26</t>
  </si>
  <si>
    <t>2023-07-18</t>
  </si>
  <si>
    <t>2023-02-07</t>
  </si>
  <si>
    <t>2023-05-14</t>
  </si>
  <si>
    <t>2023-06-24</t>
  </si>
  <si>
    <t>2023-09-19</t>
  </si>
  <si>
    <t>2023-09-16</t>
  </si>
  <si>
    <t>2023-11-03</t>
  </si>
  <si>
    <t>2023-05-28</t>
  </si>
  <si>
    <t>2023-05-03</t>
  </si>
  <si>
    <t>2023-08-20</t>
  </si>
  <si>
    <t>2023-09-24</t>
  </si>
  <si>
    <t>2023-05-26</t>
  </si>
  <si>
    <t>2023-10-12</t>
  </si>
  <si>
    <t>2023-05-31</t>
  </si>
  <si>
    <t>2023-11-18</t>
  </si>
  <si>
    <t>2023-02-27</t>
  </si>
  <si>
    <t>2023-11-23</t>
  </si>
  <si>
    <t>2023-04-06</t>
  </si>
  <si>
    <t>2023-11-04</t>
  </si>
  <si>
    <t>2023-07-05</t>
  </si>
  <si>
    <t>2023-04-12</t>
  </si>
  <si>
    <t>2023-12-25</t>
  </si>
  <si>
    <t>2023-09-01</t>
  </si>
  <si>
    <t>2023-06-04</t>
  </si>
  <si>
    <t>2023-06-17</t>
  </si>
  <si>
    <t>2023-08-24</t>
  </si>
  <si>
    <t>2023-03-09</t>
  </si>
  <si>
    <t>2023-11-19</t>
  </si>
  <si>
    <t>2023-02-05</t>
  </si>
  <si>
    <t>2023-08-06</t>
  </si>
  <si>
    <t>2023-03-19</t>
  </si>
  <si>
    <t>2023-10-03</t>
  </si>
  <si>
    <t>2023-04-02</t>
  </si>
  <si>
    <t>2023-03-12</t>
  </si>
  <si>
    <t>2023-12-04</t>
  </si>
  <si>
    <t>2023-06-26</t>
  </si>
  <si>
    <t>2023-02-01</t>
  </si>
  <si>
    <t>2023-11-15</t>
  </si>
  <si>
    <t>2023-06-06</t>
  </si>
  <si>
    <t>2023-11-22</t>
  </si>
  <si>
    <t>2023-08-01</t>
  </si>
  <si>
    <t>Chennai</t>
  </si>
  <si>
    <t>Kolkata</t>
  </si>
  <si>
    <t>Hyderabad</t>
  </si>
  <si>
    <t>Mumbai</t>
  </si>
  <si>
    <t>Delhi</t>
  </si>
  <si>
    <t>Bangalore</t>
  </si>
  <si>
    <t>Credit Card</t>
  </si>
  <si>
    <t>UPI</t>
  </si>
  <si>
    <t>Cash on Delivery</t>
  </si>
  <si>
    <t>Debit Card</t>
  </si>
  <si>
    <t>Pending</t>
  </si>
  <si>
    <t>Delivered</t>
  </si>
  <si>
    <t>Cancelled</t>
  </si>
  <si>
    <t>Low</t>
  </si>
  <si>
    <t>High</t>
  </si>
  <si>
    <t>Medium</t>
  </si>
  <si>
    <t>Column1</t>
  </si>
  <si>
    <t>Column2</t>
  </si>
  <si>
    <t>order level</t>
  </si>
  <si>
    <t>Concat</t>
  </si>
  <si>
    <t>left pf cat</t>
  </si>
  <si>
    <t>total sales</t>
  </si>
  <si>
    <t>total qunatity</t>
  </si>
  <si>
    <t>Average price</t>
  </si>
  <si>
    <t>min of price</t>
  </si>
  <si>
    <t>max of price</t>
  </si>
  <si>
    <t>today date</t>
  </si>
  <si>
    <t>Grand Total</t>
  </si>
  <si>
    <t>Sum of Total_Amount</t>
  </si>
  <si>
    <t>Count of order level</t>
  </si>
  <si>
    <t>Count of Order_ID</t>
  </si>
  <si>
    <t>payment method</t>
  </si>
  <si>
    <t>city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</si>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</sst>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9">
    <dxf>
      <fill>
        <patternFill patternType="solid">
          <fgColor rgb="FFFF0000"/>
          <bgColor rgb="FFFF00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Bangalore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Accessories</c:v>
              </c:pt>
              <c:pt idx="1">
                <c:v>Electronics</c:v>
              </c:pt>
              <c:pt idx="2">
                <c:v>Fitness</c:v>
              </c:pt>
              <c:pt idx="3">
                <c:v>Home</c:v>
              </c:pt>
              <c:pt idx="4">
                <c:v>Lifestyle</c:v>
              </c:pt>
            </c:strLit>
          </c:cat>
          <c:val>
            <c:numLit>
              <c:formatCode>General</c:formatCode>
              <c:ptCount val="5"/>
              <c:pt idx="0">
                <c:v>45</c:v>
              </c:pt>
              <c:pt idx="1">
                <c:v>38</c:v>
              </c:pt>
              <c:pt idx="2">
                <c:v>31</c:v>
              </c:pt>
              <c:pt idx="3">
                <c:v>40</c:v>
              </c:pt>
              <c:pt idx="4">
                <c:v>35</c:v>
              </c:pt>
            </c:numLit>
          </c:val>
          <c:extLst>
            <c:ext xmlns:c16="http://schemas.microsoft.com/office/drawing/2014/chart" uri="{C3380CC4-5D6E-409C-BE32-E72D297353CC}">
              <c16:uniqueId val="{00000000-2623-4967-BC59-330987C5AB4D}"/>
            </c:ext>
          </c:extLst>
        </c:ser>
        <c:ser>
          <c:idx val="1"/>
          <c:order val="1"/>
          <c:tx>
            <c:v>Chennai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Accessories</c:v>
              </c:pt>
              <c:pt idx="1">
                <c:v>Electronics</c:v>
              </c:pt>
              <c:pt idx="2">
                <c:v>Fitness</c:v>
              </c:pt>
              <c:pt idx="3">
                <c:v>Home</c:v>
              </c:pt>
              <c:pt idx="4">
                <c:v>Lifestyle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38</c:v>
              </c:pt>
              <c:pt idx="2">
                <c:v>42</c:v>
              </c:pt>
              <c:pt idx="3">
                <c:v>38</c:v>
              </c:pt>
              <c:pt idx="4">
                <c:v>44</c:v>
              </c:pt>
            </c:numLit>
          </c:val>
          <c:extLst>
            <c:ext xmlns:c16="http://schemas.microsoft.com/office/drawing/2014/chart" uri="{C3380CC4-5D6E-409C-BE32-E72D297353CC}">
              <c16:uniqueId val="{00000005-2623-4967-BC59-330987C5AB4D}"/>
            </c:ext>
          </c:extLst>
        </c:ser>
        <c:ser>
          <c:idx val="2"/>
          <c:order val="2"/>
          <c:tx>
            <c:v>Delhi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Accessories</c:v>
              </c:pt>
              <c:pt idx="1">
                <c:v>Electronics</c:v>
              </c:pt>
              <c:pt idx="2">
                <c:v>Fitness</c:v>
              </c:pt>
              <c:pt idx="3">
                <c:v>Home</c:v>
              </c:pt>
              <c:pt idx="4">
                <c:v>Lifestyle</c:v>
              </c:pt>
            </c:strLit>
          </c:cat>
          <c:val>
            <c:numLit>
              <c:formatCode>General</c:formatCode>
              <c:ptCount val="5"/>
              <c:pt idx="0">
                <c:v>51</c:v>
              </c:pt>
              <c:pt idx="1">
                <c:v>44</c:v>
              </c:pt>
              <c:pt idx="2">
                <c:v>48</c:v>
              </c:pt>
              <c:pt idx="3">
                <c:v>39</c:v>
              </c:pt>
              <c:pt idx="4">
                <c:v>49</c:v>
              </c:pt>
            </c:numLit>
          </c:val>
          <c:extLst>
            <c:ext xmlns:c16="http://schemas.microsoft.com/office/drawing/2014/chart" uri="{C3380CC4-5D6E-409C-BE32-E72D297353CC}">
              <c16:uniqueId val="{00000006-2623-4967-BC59-330987C5AB4D}"/>
            </c:ext>
          </c:extLst>
        </c:ser>
        <c:ser>
          <c:idx val="3"/>
          <c:order val="3"/>
          <c:tx>
            <c:v>Hyderabad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Accessories</c:v>
              </c:pt>
              <c:pt idx="1">
                <c:v>Electronics</c:v>
              </c:pt>
              <c:pt idx="2">
                <c:v>Fitness</c:v>
              </c:pt>
              <c:pt idx="3">
                <c:v>Home</c:v>
              </c:pt>
              <c:pt idx="4">
                <c:v>Lifestyle</c:v>
              </c:pt>
            </c:strLit>
          </c:cat>
          <c:val>
            <c:numLit>
              <c:formatCode>General</c:formatCode>
              <c:ptCount val="5"/>
              <c:pt idx="0">
                <c:v>38</c:v>
              </c:pt>
              <c:pt idx="1">
                <c:v>39</c:v>
              </c:pt>
              <c:pt idx="2">
                <c:v>39</c:v>
              </c:pt>
              <c:pt idx="3">
                <c:v>53</c:v>
              </c:pt>
              <c:pt idx="4">
                <c:v>30</c:v>
              </c:pt>
            </c:numLit>
          </c:val>
          <c:extLst>
            <c:ext xmlns:c16="http://schemas.microsoft.com/office/drawing/2014/chart" uri="{C3380CC4-5D6E-409C-BE32-E72D297353CC}">
              <c16:uniqueId val="{00000007-2623-4967-BC59-330987C5AB4D}"/>
            </c:ext>
          </c:extLst>
        </c:ser>
        <c:ser>
          <c:idx val="4"/>
          <c:order val="4"/>
          <c:tx>
            <c:v>Kolkata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Accessories</c:v>
              </c:pt>
              <c:pt idx="1">
                <c:v>Electronics</c:v>
              </c:pt>
              <c:pt idx="2">
                <c:v>Fitness</c:v>
              </c:pt>
              <c:pt idx="3">
                <c:v>Home</c:v>
              </c:pt>
              <c:pt idx="4">
                <c:v>Lifestyle</c:v>
              </c:pt>
            </c:strLit>
          </c:cat>
          <c:val>
            <c:numLit>
              <c:formatCode>General</c:formatCode>
              <c:ptCount val="5"/>
              <c:pt idx="0">
                <c:v>38</c:v>
              </c:pt>
              <c:pt idx="1">
                <c:v>42</c:v>
              </c:pt>
              <c:pt idx="2">
                <c:v>47</c:v>
              </c:pt>
              <c:pt idx="3">
                <c:v>33</c:v>
              </c:pt>
              <c:pt idx="4">
                <c:v>41</c:v>
              </c:pt>
            </c:numLit>
          </c:val>
          <c:extLst>
            <c:ext xmlns:c16="http://schemas.microsoft.com/office/drawing/2014/chart" uri="{C3380CC4-5D6E-409C-BE32-E72D297353CC}">
              <c16:uniqueId val="{00000008-2623-4967-BC59-330987C5AB4D}"/>
            </c:ext>
          </c:extLst>
        </c:ser>
        <c:ser>
          <c:idx val="5"/>
          <c:order val="5"/>
          <c:tx>
            <c:v>Mumbai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Accessories</c:v>
              </c:pt>
              <c:pt idx="1">
                <c:v>Electronics</c:v>
              </c:pt>
              <c:pt idx="2">
                <c:v>Fitness</c:v>
              </c:pt>
              <c:pt idx="3">
                <c:v>Home</c:v>
              </c:pt>
              <c:pt idx="4">
                <c:v>Lifestyle</c:v>
              </c:pt>
            </c:strLit>
          </c:cat>
          <c:val>
            <c:numLit>
              <c:formatCode>General</c:formatCode>
              <c:ptCount val="5"/>
              <c:pt idx="0">
                <c:v>31</c:v>
              </c:pt>
              <c:pt idx="1">
                <c:v>36</c:v>
              </c:pt>
              <c:pt idx="2">
                <c:v>41</c:v>
              </c:pt>
              <c:pt idx="3">
                <c:v>38</c:v>
              </c:pt>
              <c:pt idx="4">
                <c:v>32</c:v>
              </c:pt>
            </c:numLit>
          </c:val>
          <c:extLst>
            <c:ext xmlns:c16="http://schemas.microsoft.com/office/drawing/2014/chart" uri="{C3380CC4-5D6E-409C-BE32-E72D297353CC}">
              <c16:uniqueId val="{00000009-2623-4967-BC59-330987C5A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2830400"/>
        <c:axId val="2062832800"/>
      </c:barChart>
      <c:catAx>
        <c:axId val="206283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32800"/>
        <c:crosses val="autoZero"/>
        <c:auto val="1"/>
        <c:lblAlgn val="ctr"/>
        <c:lblOffset val="100"/>
        <c:noMultiLvlLbl val="0"/>
      </c:catAx>
      <c:valAx>
        <c:axId val="206283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3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9</xdr:row>
      <xdr:rowOff>101600</xdr:rowOff>
    </xdr:from>
    <xdr:to>
      <xdr:col>8</xdr:col>
      <xdr:colOff>304800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9A5B75-D0D8-1ED4-8EA6-765F93B4BE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.G" refreshedDate="45984.62087939815" createdVersion="8" refreshedVersion="8" minRefreshableVersion="3" recordCount="1200" xr:uid="{1625914A-DA6E-4765-B684-AD00B3306E8E}">
  <cacheSource type="worksheet">
    <worksheetSource name="Table1"/>
  </cacheSource>
  <cacheFields count="16">
    <cacheField name="Order_ID" numFmtId="0">
      <sharedItems count="1200">
        <s v="O10000"/>
        <s v="O10001"/>
        <s v="O10002"/>
        <s v="O10003"/>
        <s v="O10004"/>
        <s v="O10005"/>
        <s v="O10006"/>
        <s v="O10007"/>
        <s v="O10008"/>
        <s v="O10009"/>
        <s v="O10010"/>
        <s v="O10011"/>
        <s v="O10012"/>
        <s v="O10013"/>
        <s v="O10014"/>
        <s v="O10015"/>
        <s v="O10016"/>
        <s v="O10017"/>
        <s v="O10018"/>
        <s v="O10019"/>
        <s v="O10020"/>
        <s v="O10021"/>
        <s v="O10022"/>
        <s v="O10023"/>
        <s v="O10024"/>
        <s v="O10025"/>
        <s v="O10026"/>
        <s v="O10027"/>
        <s v="O10028"/>
        <s v="O10029"/>
        <s v="O10030"/>
        <s v="O10031"/>
        <s v="O10032"/>
        <s v="O10033"/>
        <s v="O10034"/>
        <s v="O10035"/>
        <s v="O10036"/>
        <s v="O10037"/>
        <s v="O10038"/>
        <s v="O10039"/>
        <s v="O10040"/>
        <s v="O10041"/>
        <s v="O10042"/>
        <s v="O10043"/>
        <s v="O10044"/>
        <s v="O10045"/>
        <s v="O10046"/>
        <s v="O10047"/>
        <s v="O10048"/>
        <s v="O10049"/>
        <s v="O10050"/>
        <s v="O10051"/>
        <s v="O10052"/>
        <s v="O10053"/>
        <s v="O10054"/>
        <s v="O10055"/>
        <s v="O10056"/>
        <s v="O10057"/>
        <s v="O10058"/>
        <s v="O10059"/>
        <s v="O10060"/>
        <s v="O10061"/>
        <s v="O10062"/>
        <s v="O10063"/>
        <s v="O10064"/>
        <s v="O10065"/>
        <s v="O10066"/>
        <s v="O10067"/>
        <s v="O10068"/>
        <s v="O10069"/>
        <s v="O10070"/>
        <s v="O10071"/>
        <s v="O10072"/>
        <s v="O10073"/>
        <s v="O10074"/>
        <s v="O10075"/>
        <s v="O10076"/>
        <s v="O10077"/>
        <s v="O10078"/>
        <s v="O10079"/>
        <s v="O10080"/>
        <s v="O10081"/>
        <s v="O10082"/>
        <s v="O10083"/>
        <s v="O10084"/>
        <s v="O10085"/>
        <s v="O10086"/>
        <s v="O10087"/>
        <s v="O10088"/>
        <s v="O10089"/>
        <s v="O10090"/>
        <s v="O10091"/>
        <s v="O10092"/>
        <s v="O10093"/>
        <s v="O10094"/>
        <s v="O10095"/>
        <s v="O10096"/>
        <s v="O10097"/>
        <s v="O10098"/>
        <s v="O10099"/>
        <s v="O10100"/>
        <s v="O10101"/>
        <s v="O10102"/>
        <s v="O10103"/>
        <s v="O10104"/>
        <s v="O10105"/>
        <s v="O10106"/>
        <s v="O10107"/>
        <s v="O10108"/>
        <s v="O10109"/>
        <s v="O10110"/>
        <s v="O10111"/>
        <s v="O10112"/>
        <s v="O10113"/>
        <s v="O10114"/>
        <s v="O10115"/>
        <s v="O10116"/>
        <s v="O10117"/>
        <s v="O10118"/>
        <s v="O10119"/>
        <s v="O10120"/>
        <s v="O10121"/>
        <s v="O10122"/>
        <s v="O10123"/>
        <s v="O10124"/>
        <s v="O10125"/>
        <s v="O10126"/>
        <s v="O10127"/>
        <s v="O10128"/>
        <s v="O10129"/>
        <s v="O10130"/>
        <s v="O10131"/>
        <s v="O10132"/>
        <s v="O10133"/>
        <s v="O10134"/>
        <s v="O10135"/>
        <s v="O10136"/>
        <s v="O10137"/>
        <s v="O10138"/>
        <s v="O10139"/>
        <s v="O10140"/>
        <s v="O10141"/>
        <s v="O10142"/>
        <s v="O10143"/>
        <s v="O10144"/>
        <s v="O10145"/>
        <s v="O10146"/>
        <s v="O10147"/>
        <s v="O10148"/>
        <s v="O10149"/>
        <s v="O10150"/>
        <s v="O10151"/>
        <s v="O10152"/>
        <s v="O10153"/>
        <s v="O10154"/>
        <s v="O10155"/>
        <s v="O10156"/>
        <s v="O10157"/>
        <s v="O10158"/>
        <s v="O10159"/>
        <s v="O10160"/>
        <s v="O10161"/>
        <s v="O10162"/>
        <s v="O10163"/>
        <s v="O10164"/>
        <s v="O10165"/>
        <s v="O10166"/>
        <s v="O10167"/>
        <s v="O10168"/>
        <s v="O10169"/>
        <s v="O10170"/>
        <s v="O10171"/>
        <s v="O10172"/>
        <s v="O10173"/>
        <s v="O10174"/>
        <s v="O10175"/>
        <s v="O10176"/>
        <s v="O10177"/>
        <s v="O10178"/>
        <s v="O10179"/>
        <s v="O10180"/>
        <s v="O10181"/>
        <s v="O10182"/>
        <s v="O10183"/>
        <s v="O10184"/>
        <s v="O10185"/>
        <s v="O10186"/>
        <s v="O10187"/>
        <s v="O10188"/>
        <s v="O10189"/>
        <s v="O10190"/>
        <s v="O10191"/>
        <s v="O10192"/>
        <s v="O10193"/>
        <s v="O10194"/>
        <s v="O10195"/>
        <s v="O10196"/>
        <s v="O10197"/>
        <s v="O10198"/>
        <s v="O10199"/>
        <s v="O10200"/>
        <s v="O10201"/>
        <s v="O10202"/>
        <s v="O10203"/>
        <s v="O10204"/>
        <s v="O10205"/>
        <s v="O10206"/>
        <s v="O10207"/>
        <s v="O10208"/>
        <s v="O10209"/>
        <s v="O10210"/>
        <s v="O10211"/>
        <s v="O10212"/>
        <s v="O10213"/>
        <s v="O10214"/>
        <s v="O10215"/>
        <s v="O10216"/>
        <s v="O10217"/>
        <s v="O10218"/>
        <s v="O10219"/>
        <s v="O10220"/>
        <s v="O10221"/>
        <s v="O10222"/>
        <s v="O10223"/>
        <s v="O10224"/>
        <s v="O10225"/>
        <s v="O10226"/>
        <s v="O10227"/>
        <s v="O10228"/>
        <s v="O10229"/>
        <s v="O10230"/>
        <s v="O10231"/>
        <s v="O10232"/>
        <s v="O10233"/>
        <s v="O10234"/>
        <s v="O10235"/>
        <s v="O10236"/>
        <s v="O10237"/>
        <s v="O10238"/>
        <s v="O10239"/>
        <s v="O10240"/>
        <s v="O10241"/>
        <s v="O10242"/>
        <s v="O10243"/>
        <s v="O10244"/>
        <s v="O10245"/>
        <s v="O10246"/>
        <s v="O10247"/>
        <s v="O10248"/>
        <s v="O10249"/>
        <s v="O10250"/>
        <s v="O10251"/>
        <s v="O10252"/>
        <s v="O10253"/>
        <s v="O10254"/>
        <s v="O10255"/>
        <s v="O10256"/>
        <s v="O10257"/>
        <s v="O10258"/>
        <s v="O10259"/>
        <s v="O10260"/>
        <s v="O10261"/>
        <s v="O10262"/>
        <s v="O10263"/>
        <s v="O10264"/>
        <s v="O10265"/>
        <s v="O10266"/>
        <s v="O10267"/>
        <s v="O10268"/>
        <s v="O10269"/>
        <s v="O10270"/>
        <s v="O10271"/>
        <s v="O10272"/>
        <s v="O10273"/>
        <s v="O10274"/>
        <s v="O10275"/>
        <s v="O10276"/>
        <s v="O10277"/>
        <s v="O10278"/>
        <s v="O10279"/>
        <s v="O10280"/>
        <s v="O10281"/>
        <s v="O10282"/>
        <s v="O10283"/>
        <s v="O10284"/>
        <s v="O10285"/>
        <s v="O10286"/>
        <s v="O10287"/>
        <s v="O10288"/>
        <s v="O10289"/>
        <s v="O10290"/>
        <s v="O10291"/>
        <s v="O10292"/>
        <s v="O10293"/>
        <s v="O10294"/>
        <s v="O10295"/>
        <s v="O10296"/>
        <s v="O10297"/>
        <s v="O10298"/>
        <s v="O10299"/>
        <s v="O10300"/>
        <s v="O10301"/>
        <s v="O10302"/>
        <s v="O10303"/>
        <s v="O10304"/>
        <s v="O10305"/>
        <s v="O10306"/>
        <s v="O10307"/>
        <s v="O10308"/>
        <s v="O10309"/>
        <s v="O10310"/>
        <s v="O10311"/>
        <s v="O10312"/>
        <s v="O10313"/>
        <s v="O10314"/>
        <s v="O10315"/>
        <s v="O10316"/>
        <s v="O10317"/>
        <s v="O10318"/>
        <s v="O10319"/>
        <s v="O10320"/>
        <s v="O10321"/>
        <s v="O10322"/>
        <s v="O10323"/>
        <s v="O10324"/>
        <s v="O10325"/>
        <s v="O10326"/>
        <s v="O10327"/>
        <s v="O10328"/>
        <s v="O10329"/>
        <s v="O10330"/>
        <s v="O10331"/>
        <s v="O10332"/>
        <s v="O10333"/>
        <s v="O10334"/>
        <s v="O10335"/>
        <s v="O10336"/>
        <s v="O10337"/>
        <s v="O10338"/>
        <s v="O10339"/>
        <s v="O10340"/>
        <s v="O10341"/>
        <s v="O10342"/>
        <s v="O10343"/>
        <s v="O10344"/>
        <s v="O10345"/>
        <s v="O10346"/>
        <s v="O10347"/>
        <s v="O10348"/>
        <s v="O10349"/>
        <s v="O10350"/>
        <s v="O10351"/>
        <s v="O10352"/>
        <s v="O10353"/>
        <s v="O10354"/>
        <s v="O10355"/>
        <s v="O10356"/>
        <s v="O10357"/>
        <s v="O10358"/>
        <s v="O10359"/>
        <s v="O10360"/>
        <s v="O10361"/>
        <s v="O10362"/>
        <s v="O10363"/>
        <s v="O10364"/>
        <s v="O10365"/>
        <s v="O10366"/>
        <s v="O10367"/>
        <s v="O10368"/>
        <s v="O10369"/>
        <s v="O10370"/>
        <s v="O10371"/>
        <s v="O10372"/>
        <s v="O10373"/>
        <s v="O10374"/>
        <s v="O10375"/>
        <s v="O10376"/>
        <s v="O10377"/>
        <s v="O10378"/>
        <s v="O10379"/>
        <s v="O10380"/>
        <s v="O10381"/>
        <s v="O10382"/>
        <s v="O10383"/>
        <s v="O10384"/>
        <s v="O10385"/>
        <s v="O10386"/>
        <s v="O10387"/>
        <s v="O10388"/>
        <s v="O10389"/>
        <s v="O10390"/>
        <s v="O10391"/>
        <s v="O10392"/>
        <s v="O10393"/>
        <s v="O10394"/>
        <s v="O10395"/>
        <s v="O10396"/>
        <s v="O10397"/>
        <s v="O10398"/>
        <s v="O10399"/>
        <s v="O10400"/>
        <s v="O10401"/>
        <s v="O10402"/>
        <s v="O10403"/>
        <s v="O10404"/>
        <s v="O10405"/>
        <s v="O10406"/>
        <s v="O10407"/>
        <s v="O10408"/>
        <s v="O10409"/>
        <s v="O10410"/>
        <s v="O10411"/>
        <s v="O10412"/>
        <s v="O10413"/>
        <s v="O10414"/>
        <s v="O10415"/>
        <s v="O10416"/>
        <s v="O10417"/>
        <s v="O10418"/>
        <s v="O10419"/>
        <s v="O10420"/>
        <s v="O10421"/>
        <s v="O10422"/>
        <s v="O10423"/>
        <s v="O10424"/>
        <s v="O10425"/>
        <s v="O10426"/>
        <s v="O10427"/>
        <s v="O10428"/>
        <s v="O10429"/>
        <s v="O10430"/>
        <s v="O10431"/>
        <s v="O10432"/>
        <s v="O10433"/>
        <s v="O10434"/>
        <s v="O10435"/>
        <s v="O10436"/>
        <s v="O10437"/>
        <s v="O10438"/>
        <s v="O10439"/>
        <s v="O10440"/>
        <s v="O10441"/>
        <s v="O10442"/>
        <s v="O10443"/>
        <s v="O10444"/>
        <s v="O10445"/>
        <s v="O10446"/>
        <s v="O10447"/>
        <s v="O10448"/>
        <s v="O10449"/>
        <s v="O10450"/>
        <s v="O10451"/>
        <s v="O10452"/>
        <s v="O10453"/>
        <s v="O10454"/>
        <s v="O10455"/>
        <s v="O10456"/>
        <s v="O10457"/>
        <s v="O10458"/>
        <s v="O10459"/>
        <s v="O10460"/>
        <s v="O10461"/>
        <s v="O10462"/>
        <s v="O10463"/>
        <s v="O10464"/>
        <s v="O10465"/>
        <s v="O10466"/>
        <s v="O10467"/>
        <s v="O10468"/>
        <s v="O10469"/>
        <s v="O10470"/>
        <s v="O10471"/>
        <s v="O10472"/>
        <s v="O10473"/>
        <s v="O10474"/>
        <s v="O10475"/>
        <s v="O10476"/>
        <s v="O10477"/>
        <s v="O10478"/>
        <s v="O10479"/>
        <s v="O10480"/>
        <s v="O10481"/>
        <s v="O10482"/>
        <s v="O10483"/>
        <s v="O10484"/>
        <s v="O10485"/>
        <s v="O10486"/>
        <s v="O10487"/>
        <s v="O10488"/>
        <s v="O10489"/>
        <s v="O10490"/>
        <s v="O10491"/>
        <s v="O10492"/>
        <s v="O10493"/>
        <s v="O10494"/>
        <s v="O10495"/>
        <s v="O10496"/>
        <s v="O10497"/>
        <s v="O10498"/>
        <s v="O10499"/>
        <s v="O10500"/>
        <s v="O10501"/>
        <s v="O10502"/>
        <s v="O10503"/>
        <s v="O10504"/>
        <s v="O10505"/>
        <s v="O10506"/>
        <s v="O10507"/>
        <s v="O10508"/>
        <s v="O10509"/>
        <s v="O10510"/>
        <s v="O10511"/>
        <s v="O10512"/>
        <s v="O10513"/>
        <s v="O10514"/>
        <s v="O10515"/>
        <s v="O10516"/>
        <s v="O10517"/>
        <s v="O10518"/>
        <s v="O10519"/>
        <s v="O10520"/>
        <s v="O10521"/>
        <s v="O10522"/>
        <s v="O10523"/>
        <s v="O10524"/>
        <s v="O10525"/>
        <s v="O10526"/>
        <s v="O10527"/>
        <s v="O10528"/>
        <s v="O10529"/>
        <s v="O10530"/>
        <s v="O10531"/>
        <s v="O10532"/>
        <s v="O10533"/>
        <s v="O10534"/>
        <s v="O10535"/>
        <s v="O10536"/>
        <s v="O10537"/>
        <s v="O10538"/>
        <s v="O10539"/>
        <s v="O10540"/>
        <s v="O10541"/>
        <s v="O10542"/>
        <s v="O10543"/>
        <s v="O10544"/>
        <s v="O10545"/>
        <s v="O10546"/>
        <s v="O10547"/>
        <s v="O10548"/>
        <s v="O10549"/>
        <s v="O10550"/>
        <s v="O10551"/>
        <s v="O10552"/>
        <s v="O10553"/>
        <s v="O10554"/>
        <s v="O10555"/>
        <s v="O10556"/>
        <s v="O10557"/>
        <s v="O10558"/>
        <s v="O10559"/>
        <s v="O10560"/>
        <s v="O10561"/>
        <s v="O10562"/>
        <s v="O10563"/>
        <s v="O10564"/>
        <s v="O10565"/>
        <s v="O10566"/>
        <s v="O10567"/>
        <s v="O10568"/>
        <s v="O10569"/>
        <s v="O10570"/>
        <s v="O10571"/>
        <s v="O10572"/>
        <s v="O10573"/>
        <s v="O10574"/>
        <s v="O10575"/>
        <s v="O10576"/>
        <s v="O10577"/>
        <s v="O10578"/>
        <s v="O10579"/>
        <s v="O10580"/>
        <s v="O10581"/>
        <s v="O10582"/>
        <s v="O10583"/>
        <s v="O10584"/>
        <s v="O10585"/>
        <s v="O10586"/>
        <s v="O10587"/>
        <s v="O10588"/>
        <s v="O10589"/>
        <s v="O10590"/>
        <s v="O10591"/>
        <s v="O10592"/>
        <s v="O10593"/>
        <s v="O10594"/>
        <s v="O10595"/>
        <s v="O10596"/>
        <s v="O10597"/>
        <s v="O10598"/>
        <s v="O10599"/>
        <s v="O10600"/>
        <s v="O10601"/>
        <s v="O10602"/>
        <s v="O10603"/>
        <s v="O10604"/>
        <s v="O10605"/>
        <s v="O10606"/>
        <s v="O10607"/>
        <s v="O10608"/>
        <s v="O10609"/>
        <s v="O10610"/>
        <s v="O10611"/>
        <s v="O10612"/>
        <s v="O10613"/>
        <s v="O10614"/>
        <s v="O10615"/>
        <s v="O10616"/>
        <s v="O10617"/>
        <s v="O10618"/>
        <s v="O10619"/>
        <s v="O10620"/>
        <s v="O10621"/>
        <s v="O10622"/>
        <s v="O10623"/>
        <s v="O10624"/>
        <s v="O10625"/>
        <s v="O10626"/>
        <s v="O10627"/>
        <s v="O10628"/>
        <s v="O10629"/>
        <s v="O10630"/>
        <s v="O10631"/>
        <s v="O10632"/>
        <s v="O10633"/>
        <s v="O10634"/>
        <s v="O10635"/>
        <s v="O10636"/>
        <s v="O10637"/>
        <s v="O10638"/>
        <s v="O10639"/>
        <s v="O10640"/>
        <s v="O10641"/>
        <s v="O10642"/>
        <s v="O10643"/>
        <s v="O10644"/>
        <s v="O10645"/>
        <s v="O10646"/>
        <s v="O10647"/>
        <s v="O10648"/>
        <s v="O10649"/>
        <s v="O10650"/>
        <s v="O10651"/>
        <s v="O10652"/>
        <s v="O10653"/>
        <s v="O10654"/>
        <s v="O10655"/>
        <s v="O10656"/>
        <s v="O10657"/>
        <s v="O10658"/>
        <s v="O10659"/>
        <s v="O10660"/>
        <s v="O10661"/>
        <s v="O10662"/>
        <s v="O10663"/>
        <s v="O10664"/>
        <s v="O10665"/>
        <s v="O10666"/>
        <s v="O10667"/>
        <s v="O10668"/>
        <s v="O10669"/>
        <s v="O10670"/>
        <s v="O10671"/>
        <s v="O10672"/>
        <s v="O10673"/>
        <s v="O10674"/>
        <s v="O10675"/>
        <s v="O10676"/>
        <s v="O10677"/>
        <s v="O10678"/>
        <s v="O10679"/>
        <s v="O10680"/>
        <s v="O10681"/>
        <s v="O10682"/>
        <s v="O10683"/>
        <s v="O10684"/>
        <s v="O10685"/>
        <s v="O10686"/>
        <s v="O10687"/>
        <s v="O10688"/>
        <s v="O10689"/>
        <s v="O10690"/>
        <s v="O10691"/>
        <s v="O10692"/>
        <s v="O10693"/>
        <s v="O10694"/>
        <s v="O10695"/>
        <s v="O10696"/>
        <s v="O10697"/>
        <s v="O10698"/>
        <s v="O10699"/>
        <s v="O10700"/>
        <s v="O10701"/>
        <s v="O10702"/>
        <s v="O10703"/>
        <s v="O10704"/>
        <s v="O10705"/>
        <s v="O10706"/>
        <s v="O10707"/>
        <s v="O10708"/>
        <s v="O10709"/>
        <s v="O10710"/>
        <s v="O10711"/>
        <s v="O10712"/>
        <s v="O10713"/>
        <s v="O10714"/>
        <s v="O10715"/>
        <s v="O10716"/>
        <s v="O10717"/>
        <s v="O10718"/>
        <s v="O10719"/>
        <s v="O10720"/>
        <s v="O10721"/>
        <s v="O10722"/>
        <s v="O10723"/>
        <s v="O10724"/>
        <s v="O10725"/>
        <s v="O10726"/>
        <s v="O10727"/>
        <s v="O10728"/>
        <s v="O10729"/>
        <s v="O10730"/>
        <s v="O10731"/>
        <s v="O10732"/>
        <s v="O10733"/>
        <s v="O10734"/>
        <s v="O10735"/>
        <s v="O10736"/>
        <s v="O10737"/>
        <s v="O10738"/>
        <s v="O10739"/>
        <s v="O10740"/>
        <s v="O10741"/>
        <s v="O10742"/>
        <s v="O10743"/>
        <s v="O10744"/>
        <s v="O10745"/>
        <s v="O10746"/>
        <s v="O10747"/>
        <s v="O10748"/>
        <s v="O10749"/>
        <s v="O10750"/>
        <s v="O10751"/>
        <s v="O10752"/>
        <s v="O10753"/>
        <s v="O10754"/>
        <s v="O10755"/>
        <s v="O10756"/>
        <s v="O10757"/>
        <s v="O10758"/>
        <s v="O10759"/>
        <s v="O10760"/>
        <s v="O10761"/>
        <s v="O10762"/>
        <s v="O10763"/>
        <s v="O10764"/>
        <s v="O10765"/>
        <s v="O10766"/>
        <s v="O10767"/>
        <s v="O10768"/>
        <s v="O10769"/>
        <s v="O10770"/>
        <s v="O10771"/>
        <s v="O10772"/>
        <s v="O10773"/>
        <s v="O10774"/>
        <s v="O10775"/>
        <s v="O10776"/>
        <s v="O10777"/>
        <s v="O10778"/>
        <s v="O10779"/>
        <s v="O10780"/>
        <s v="O10781"/>
        <s v="O10782"/>
        <s v="O10783"/>
        <s v="O10784"/>
        <s v="O10785"/>
        <s v="O10786"/>
        <s v="O10787"/>
        <s v="O10788"/>
        <s v="O10789"/>
        <s v="O10790"/>
        <s v="O10791"/>
        <s v="O10792"/>
        <s v="O10793"/>
        <s v="O10794"/>
        <s v="O10795"/>
        <s v="O10796"/>
        <s v="O10797"/>
        <s v="O10798"/>
        <s v="O10799"/>
        <s v="O10800"/>
        <s v="O10801"/>
        <s v="O10802"/>
        <s v="O10803"/>
        <s v="O10804"/>
        <s v="O10805"/>
        <s v="O10806"/>
        <s v="O10807"/>
        <s v="O10808"/>
        <s v="O10809"/>
        <s v="O10810"/>
        <s v="O10811"/>
        <s v="O10812"/>
        <s v="O10813"/>
        <s v="O10814"/>
        <s v="O10815"/>
        <s v="O10816"/>
        <s v="O10817"/>
        <s v="O10818"/>
        <s v="O10819"/>
        <s v="O10820"/>
        <s v="O10821"/>
        <s v="O10822"/>
        <s v="O10823"/>
        <s v="O10824"/>
        <s v="O10825"/>
        <s v="O10826"/>
        <s v="O10827"/>
        <s v="O10828"/>
        <s v="O10829"/>
        <s v="O10830"/>
        <s v="O10831"/>
        <s v="O10832"/>
        <s v="O10833"/>
        <s v="O10834"/>
        <s v="O10835"/>
        <s v="O10836"/>
        <s v="O10837"/>
        <s v="O10838"/>
        <s v="O10839"/>
        <s v="O10840"/>
        <s v="O10841"/>
        <s v="O10842"/>
        <s v="O10843"/>
        <s v="O10844"/>
        <s v="O10845"/>
        <s v="O10846"/>
        <s v="O10847"/>
        <s v="O10848"/>
        <s v="O10849"/>
        <s v="O10850"/>
        <s v="O10851"/>
        <s v="O10852"/>
        <s v="O10853"/>
        <s v="O10854"/>
        <s v="O10855"/>
        <s v="O10856"/>
        <s v="O10857"/>
        <s v="O10858"/>
        <s v="O10859"/>
        <s v="O10860"/>
        <s v="O10861"/>
        <s v="O10862"/>
        <s v="O10863"/>
        <s v="O10864"/>
        <s v="O10865"/>
        <s v="O10866"/>
        <s v="O10867"/>
        <s v="O10868"/>
        <s v="O10869"/>
        <s v="O10870"/>
        <s v="O10871"/>
        <s v="O10872"/>
        <s v="O10873"/>
        <s v="O10874"/>
        <s v="O10875"/>
        <s v="O10876"/>
        <s v="O10877"/>
        <s v="O10878"/>
        <s v="O10879"/>
        <s v="O10880"/>
        <s v="O10881"/>
        <s v="O10882"/>
        <s v="O10883"/>
        <s v="O10884"/>
        <s v="O10885"/>
        <s v="O10886"/>
        <s v="O10887"/>
        <s v="O10888"/>
        <s v="O10889"/>
        <s v="O10890"/>
        <s v="O10891"/>
        <s v="O10892"/>
        <s v="O10893"/>
        <s v="O10894"/>
        <s v="O10895"/>
        <s v="O10896"/>
        <s v="O10897"/>
        <s v="O10898"/>
        <s v="O10899"/>
        <s v="O10900"/>
        <s v="O10901"/>
        <s v="O10902"/>
        <s v="O10903"/>
        <s v="O10904"/>
        <s v="O10905"/>
        <s v="O10906"/>
        <s v="O10907"/>
        <s v="O10908"/>
        <s v="O10909"/>
        <s v="O10910"/>
        <s v="O10911"/>
        <s v="O10912"/>
        <s v="O10913"/>
        <s v="O10914"/>
        <s v="O10915"/>
        <s v="O10916"/>
        <s v="O10917"/>
        <s v="O10918"/>
        <s v="O10919"/>
        <s v="O10920"/>
        <s v="O10921"/>
        <s v="O10922"/>
        <s v="O10923"/>
        <s v="O10924"/>
        <s v="O10925"/>
        <s v="O10926"/>
        <s v="O10927"/>
        <s v="O10928"/>
        <s v="O10929"/>
        <s v="O10930"/>
        <s v="O10931"/>
        <s v="O10932"/>
        <s v="O10933"/>
        <s v="O10934"/>
        <s v="O10935"/>
        <s v="O10936"/>
        <s v="O10937"/>
        <s v="O10938"/>
        <s v="O10939"/>
        <s v="O10940"/>
        <s v="O10941"/>
        <s v="O10942"/>
        <s v="O10943"/>
        <s v="O10944"/>
        <s v="O10945"/>
        <s v="O10946"/>
        <s v="O10947"/>
        <s v="O10948"/>
        <s v="O10949"/>
        <s v="O10950"/>
        <s v="O10951"/>
        <s v="O10952"/>
        <s v="O10953"/>
        <s v="O10954"/>
        <s v="O10955"/>
        <s v="O10956"/>
        <s v="O10957"/>
        <s v="O10958"/>
        <s v="O10959"/>
        <s v="O10960"/>
        <s v="O10961"/>
        <s v="O10962"/>
        <s v="O10963"/>
        <s v="O10964"/>
        <s v="O10965"/>
        <s v="O10966"/>
        <s v="O10967"/>
        <s v="O10968"/>
        <s v="O10969"/>
        <s v="O10970"/>
        <s v="O10971"/>
        <s v="O10972"/>
        <s v="O10973"/>
        <s v="O10974"/>
        <s v="O10975"/>
        <s v="O10976"/>
        <s v="O10977"/>
        <s v="O10978"/>
        <s v="O10979"/>
        <s v="O10980"/>
        <s v="O10981"/>
        <s v="O10982"/>
        <s v="O10983"/>
        <s v="O10984"/>
        <s v="O10985"/>
        <s v="O10986"/>
        <s v="O10987"/>
        <s v="O10988"/>
        <s v="O10989"/>
        <s v="O10990"/>
        <s v="O10991"/>
        <s v="O10992"/>
        <s v="O10993"/>
        <s v="O10994"/>
        <s v="O10995"/>
        <s v="O10996"/>
        <s v="O10997"/>
        <s v="O10998"/>
        <s v="O10999"/>
        <s v="O11000"/>
        <s v="O11001"/>
        <s v="O11002"/>
        <s v="O11003"/>
        <s v="O11004"/>
        <s v="O11005"/>
        <s v="O11006"/>
        <s v="O11007"/>
        <s v="O11008"/>
        <s v="O11009"/>
        <s v="O11010"/>
        <s v="O11011"/>
        <s v="O11012"/>
        <s v="O11013"/>
        <s v="O11014"/>
        <s v="O11015"/>
        <s v="O11016"/>
        <s v="O11017"/>
        <s v="O11018"/>
        <s v="O11019"/>
        <s v="O11020"/>
        <s v="O11021"/>
        <s v="O11022"/>
        <s v="O11023"/>
        <s v="O11024"/>
        <s v="O11025"/>
        <s v="O11026"/>
        <s v="O11027"/>
        <s v="O11028"/>
        <s v="O11029"/>
        <s v="O11030"/>
        <s v="O11031"/>
        <s v="O11032"/>
        <s v="O11033"/>
        <s v="O11034"/>
        <s v="O11035"/>
        <s v="O11036"/>
        <s v="O11037"/>
        <s v="O11038"/>
        <s v="O11039"/>
        <s v="O11040"/>
        <s v="O11041"/>
        <s v="O11042"/>
        <s v="O11043"/>
        <s v="O11044"/>
        <s v="O11045"/>
        <s v="O11046"/>
        <s v="O11047"/>
        <s v="O11048"/>
        <s v="O11049"/>
        <s v="O11050"/>
        <s v="O11051"/>
        <s v="O11052"/>
        <s v="O11053"/>
        <s v="O11054"/>
        <s v="O11055"/>
        <s v="O11056"/>
        <s v="O11057"/>
        <s v="O11058"/>
        <s v="O11059"/>
        <s v="O11060"/>
        <s v="O11061"/>
        <s v="O11062"/>
        <s v="O11063"/>
        <s v="O11064"/>
        <s v="O11065"/>
        <s v="O11066"/>
        <s v="O11067"/>
        <s v="O11068"/>
        <s v="O11069"/>
        <s v="O11070"/>
        <s v="O11071"/>
        <s v="O11072"/>
        <s v="O11073"/>
        <s v="O11074"/>
        <s v="O11075"/>
        <s v="O11076"/>
        <s v="O11077"/>
        <s v="O11078"/>
        <s v="O11079"/>
        <s v="O11080"/>
        <s v="O11081"/>
        <s v="O11082"/>
        <s v="O11083"/>
        <s v="O11084"/>
        <s v="O11085"/>
        <s v="O11086"/>
        <s v="O11087"/>
        <s v="O11088"/>
        <s v="O11089"/>
        <s v="O11090"/>
        <s v="O11091"/>
        <s v="O11092"/>
        <s v="O11093"/>
        <s v="O11094"/>
        <s v="O11095"/>
        <s v="O11096"/>
        <s v="O11097"/>
        <s v="O11098"/>
        <s v="O11099"/>
        <s v="O11100"/>
        <s v="O11101"/>
        <s v="O11102"/>
        <s v="O11103"/>
        <s v="O11104"/>
        <s v="O11105"/>
        <s v="O11106"/>
        <s v="O11107"/>
        <s v="O11108"/>
        <s v="O11109"/>
        <s v="O11110"/>
        <s v="O11111"/>
        <s v="O11112"/>
        <s v="O11113"/>
        <s v="O11114"/>
        <s v="O11115"/>
        <s v="O11116"/>
        <s v="O11117"/>
        <s v="O11118"/>
        <s v="O11119"/>
        <s v="O11120"/>
        <s v="O11121"/>
        <s v="O11122"/>
        <s v="O11123"/>
        <s v="O11124"/>
        <s v="O11125"/>
        <s v="O11126"/>
        <s v="O11127"/>
        <s v="O11128"/>
        <s v="O11129"/>
        <s v="O11130"/>
        <s v="O11131"/>
        <s v="O11132"/>
        <s v="O11133"/>
        <s v="O11134"/>
        <s v="O11135"/>
        <s v="O11136"/>
        <s v="O11137"/>
        <s v="O11138"/>
        <s v="O11139"/>
        <s v="O11140"/>
        <s v="O11141"/>
        <s v="O11142"/>
        <s v="O11143"/>
        <s v="O11144"/>
        <s v="O11145"/>
        <s v="O11146"/>
        <s v="O11147"/>
        <s v="O11148"/>
        <s v="O11149"/>
        <s v="O11150"/>
        <s v="O11151"/>
        <s v="O11152"/>
        <s v="O11153"/>
        <s v="O11154"/>
        <s v="O11155"/>
        <s v="O11156"/>
        <s v="O11157"/>
        <s v="O11158"/>
        <s v="O11159"/>
        <s v="O11160"/>
        <s v="O11161"/>
        <s v="O11162"/>
        <s v="O11163"/>
        <s v="O11164"/>
        <s v="O11165"/>
        <s v="O11166"/>
        <s v="O11167"/>
        <s v="O11168"/>
        <s v="O11169"/>
        <s v="O11170"/>
        <s v="O11171"/>
        <s v="O11172"/>
        <s v="O11173"/>
        <s v="O11174"/>
        <s v="O11175"/>
        <s v="O11176"/>
        <s v="O11177"/>
        <s v="O11178"/>
        <s v="O11179"/>
        <s v="O11180"/>
        <s v="O11181"/>
        <s v="O11182"/>
        <s v="O11183"/>
        <s v="O11184"/>
        <s v="O11185"/>
        <s v="O11186"/>
        <s v="O11187"/>
        <s v="O11188"/>
        <s v="O11189"/>
        <s v="O11190"/>
        <s v="O11191"/>
        <s v="O11192"/>
        <s v="O11193"/>
        <s v="O11194"/>
        <s v="O11195"/>
        <s v="O11196"/>
        <s v="O11197"/>
        <s v="O11198"/>
        <s v="O11199"/>
      </sharedItems>
    </cacheField>
    <cacheField name="Product_Name" numFmtId="0">
      <sharedItems/>
    </cacheField>
    <cacheField name="Category" numFmtId="0">
      <sharedItems count="5">
        <s v="Lifestyle"/>
        <s v="Fitness"/>
        <s v="Home"/>
        <s v="Accessories"/>
        <s v="Electronics"/>
      </sharedItems>
    </cacheField>
    <cacheField name="Price" numFmtId="0">
      <sharedItems containsSemiMixedTypes="0" containsString="0" containsNumber="1" containsInteger="1" minValue="173" maxValue="4998"/>
    </cacheField>
    <cacheField name="Quantity" numFmtId="0">
      <sharedItems containsSemiMixedTypes="0" containsString="0" containsNumber="1" containsInteger="1" minValue="1" maxValue="4" count="4">
        <n v="4"/>
        <n v="3"/>
        <n v="2"/>
        <n v="1"/>
      </sharedItems>
    </cacheField>
    <cacheField name="Order_Date" numFmtId="0">
      <sharedItems/>
    </cacheField>
    <cacheField name="City" numFmtId="0">
      <sharedItems count="6">
        <s v="Chennai"/>
        <s v="Kolkata"/>
        <s v="Hyderabad"/>
        <s v="Mumbai"/>
        <s v="Delhi"/>
        <s v="Bangalore"/>
      </sharedItems>
    </cacheField>
    <cacheField name="Payment_Method" numFmtId="0">
      <sharedItems count="4">
        <s v="Credit Card"/>
        <s v="UPI"/>
        <s v="Cash on Delivery"/>
        <s v="Debit Card"/>
      </sharedItems>
    </cacheField>
    <cacheField name="Total_Amount" numFmtId="0">
      <sharedItems containsSemiMixedTypes="0" containsString="0" containsNumber="1" containsInteger="1" minValue="174" maxValue="19976"/>
    </cacheField>
    <cacheField name="Shipping_Fee" numFmtId="0">
      <sharedItems containsSemiMixedTypes="0" containsString="0" containsNumber="1" containsInteger="1" minValue="20" maxValue="100"/>
    </cacheField>
    <cacheField name="Delivery_Status" numFmtId="0">
      <sharedItems/>
    </cacheField>
    <cacheField name="Priority_Order" numFmtId="0">
      <sharedItems/>
    </cacheField>
    <cacheField name="order level" numFmtId="0">
      <sharedItems/>
    </cacheField>
    <cacheField name="Concat" numFmtId="0">
      <sharedItems/>
    </cacheField>
    <cacheField name="left pf cat" numFmtId="0">
      <sharedItems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Water Bottle"/>
    <x v="0"/>
    <n v="340"/>
    <x v="0"/>
    <s v="2023-12-15"/>
    <x v="0"/>
    <x v="0"/>
    <n v="1360"/>
    <n v="92"/>
    <s v="Pending"/>
    <s v="Low"/>
    <s v="Bulk Order"/>
    <s v="Lifestyle-Chennai"/>
    <s v="Lif"/>
    <m/>
  </r>
  <r>
    <x v="1"/>
    <s v="Wireless Earbuds"/>
    <x v="1"/>
    <n v="3162"/>
    <x v="1"/>
    <s v="2023-03-30"/>
    <x v="1"/>
    <x v="0"/>
    <n v="9486"/>
    <n v="38"/>
    <s v="Delivered"/>
    <s v="High"/>
    <s v="Bulk Order"/>
    <s v="Fitness-Kolkata"/>
    <s v="Fit"/>
    <m/>
  </r>
  <r>
    <x v="2"/>
    <s v="Backpack"/>
    <x v="1"/>
    <n v="4165"/>
    <x v="0"/>
    <s v="2023-02-25"/>
    <x v="0"/>
    <x v="1"/>
    <n v="16660"/>
    <n v="27"/>
    <s v="Delivered"/>
    <s v="Medium"/>
    <s v="Bulk Order"/>
    <s v="Fitness-Chennai"/>
    <s v="Fit"/>
    <m/>
  </r>
  <r>
    <x v="3"/>
    <s v="Coffee Mug"/>
    <x v="2"/>
    <n v="3740"/>
    <x v="1"/>
    <s v="2023-09-08"/>
    <x v="2"/>
    <x v="0"/>
    <n v="11220"/>
    <n v="79"/>
    <s v="Delivered"/>
    <s v="High"/>
    <s v="Bulk Order"/>
    <s v="Home-Hyderabad"/>
    <s v="Hom"/>
    <m/>
  </r>
  <r>
    <x v="4"/>
    <s v="Desk Organizer"/>
    <x v="3"/>
    <n v="3670"/>
    <x v="2"/>
    <s v="2023-01-24"/>
    <x v="1"/>
    <x v="2"/>
    <n v="7340"/>
    <n v="20"/>
    <s v="Delivered"/>
    <s v="Medium"/>
    <s v="Normal Order"/>
    <s v="Accessories-Kolkata"/>
    <s v="Acc"/>
    <m/>
  </r>
  <r>
    <x v="5"/>
    <s v="Power Bank"/>
    <x v="3"/>
    <n v="671"/>
    <x v="2"/>
    <s v="2023-09-05"/>
    <x v="3"/>
    <x v="2"/>
    <n v="1342"/>
    <n v="49"/>
    <s v="Pending"/>
    <s v="Low"/>
    <s v="Normal Order"/>
    <s v="Accessories-Mumbai"/>
    <s v="Acc"/>
    <m/>
  </r>
  <r>
    <x v="6"/>
    <s v="Smartphone Case"/>
    <x v="0"/>
    <n v="3362"/>
    <x v="0"/>
    <s v="2023-06-27"/>
    <x v="3"/>
    <x v="3"/>
    <n v="13448"/>
    <n v="83"/>
    <s v="Pending"/>
    <s v="Medium"/>
    <s v="Bulk Order"/>
    <s v="Lifestyle-Mumbai"/>
    <s v="Lif"/>
    <m/>
  </r>
  <r>
    <x v="7"/>
    <s v="Smartphone Case"/>
    <x v="0"/>
    <n v="2122"/>
    <x v="3"/>
    <s v="2023-06-09"/>
    <x v="4"/>
    <x v="1"/>
    <n v="2122"/>
    <n v="26"/>
    <s v="Delivered"/>
    <s v="High"/>
    <s v="Normal Order"/>
    <s v="Lifestyle-Delhi"/>
    <s v="Lif"/>
    <m/>
  </r>
  <r>
    <x v="8"/>
    <s v="Power Bank"/>
    <x v="3"/>
    <n v="1491"/>
    <x v="3"/>
    <s v="2023-11-26"/>
    <x v="2"/>
    <x v="3"/>
    <n v="1491"/>
    <n v="28"/>
    <s v="Cancelled"/>
    <s v="Medium"/>
    <s v="Normal Order"/>
    <s v="Accessories-Hyderabad"/>
    <s v="Acc"/>
    <m/>
  </r>
  <r>
    <x v="9"/>
    <s v="LED Bulb"/>
    <x v="2"/>
    <n v="4930"/>
    <x v="3"/>
    <s v="2023-06-07"/>
    <x v="0"/>
    <x v="0"/>
    <n v="4930"/>
    <n v="91"/>
    <s v="Pending"/>
    <s v="Medium"/>
    <s v="Normal Order"/>
    <s v="Home-Chennai"/>
    <s v="Hom"/>
    <m/>
  </r>
  <r>
    <x v="10"/>
    <s v="Power Bank"/>
    <x v="2"/>
    <n v="1244"/>
    <x v="1"/>
    <s v="2023-04-24"/>
    <x v="0"/>
    <x v="3"/>
    <n v="3732"/>
    <n v="50"/>
    <s v="Delivered"/>
    <s v="High"/>
    <s v="Bulk Order"/>
    <s v="Home-Chennai"/>
    <s v="Hom"/>
    <m/>
  </r>
  <r>
    <x v="11"/>
    <s v="Desk Organizer"/>
    <x v="2"/>
    <n v="4313"/>
    <x v="2"/>
    <s v="2023-12-02"/>
    <x v="4"/>
    <x v="0"/>
    <n v="8626"/>
    <n v="32"/>
    <s v="Delivered"/>
    <s v="Medium"/>
    <s v="Normal Order"/>
    <s v="Home-Delhi"/>
    <s v="Hom"/>
    <m/>
  </r>
  <r>
    <x v="12"/>
    <s v="Coffee Mug"/>
    <x v="1"/>
    <n v="2962"/>
    <x v="3"/>
    <s v="2023-06-28"/>
    <x v="2"/>
    <x v="2"/>
    <n v="2962"/>
    <n v="36"/>
    <s v="Delivered"/>
    <s v="Low"/>
    <s v="Normal Order"/>
    <s v="Fitness-Hyderabad"/>
    <s v="Fit"/>
    <m/>
  </r>
  <r>
    <x v="13"/>
    <s v="Fitness Band"/>
    <x v="0"/>
    <n v="2243"/>
    <x v="2"/>
    <s v="2023-04-29"/>
    <x v="4"/>
    <x v="0"/>
    <n v="4486"/>
    <n v="59"/>
    <s v="Delivered"/>
    <s v="High"/>
    <s v="Normal Order"/>
    <s v="Lifestyle-Delhi"/>
    <s v="Lif"/>
    <m/>
  </r>
  <r>
    <x v="14"/>
    <s v="USB Cable"/>
    <x v="0"/>
    <n v="2049"/>
    <x v="1"/>
    <s v="2023-04-11"/>
    <x v="3"/>
    <x v="3"/>
    <n v="6147"/>
    <n v="32"/>
    <s v="Pending"/>
    <s v="Medium"/>
    <s v="Bulk Order"/>
    <s v="Lifestyle-Mumbai"/>
    <s v="Lif"/>
    <m/>
  </r>
  <r>
    <x v="15"/>
    <s v="Laptop Stand"/>
    <x v="0"/>
    <n v="4162"/>
    <x v="2"/>
    <s v="2023-01-04"/>
    <x v="5"/>
    <x v="1"/>
    <n v="8324"/>
    <n v="92"/>
    <s v="Delivered"/>
    <s v="High"/>
    <s v="Normal Order"/>
    <s v="Lifestyle-Bangalore"/>
    <s v="Lif"/>
    <m/>
  </r>
  <r>
    <x v="16"/>
    <s v="Power Bank"/>
    <x v="0"/>
    <n v="3815"/>
    <x v="0"/>
    <s v="2023-10-24"/>
    <x v="4"/>
    <x v="0"/>
    <n v="15260"/>
    <n v="86"/>
    <s v="Delivered"/>
    <s v="Low"/>
    <s v="Bulk Order"/>
    <s v="Lifestyle-Delhi"/>
    <s v="Lif"/>
    <m/>
  </r>
  <r>
    <x v="17"/>
    <s v="USB Cable"/>
    <x v="4"/>
    <n v="3138"/>
    <x v="0"/>
    <s v="2023-04-08"/>
    <x v="1"/>
    <x v="1"/>
    <n v="12552"/>
    <n v="83"/>
    <s v="Pending"/>
    <s v="Low"/>
    <s v="Bulk Order"/>
    <s v="Electronics-Kolkata"/>
    <s v="Ele"/>
    <m/>
  </r>
  <r>
    <x v="18"/>
    <s v="Wireless Earbuds"/>
    <x v="4"/>
    <n v="506"/>
    <x v="3"/>
    <s v="2023-06-12"/>
    <x v="1"/>
    <x v="1"/>
    <n v="506"/>
    <n v="81"/>
    <s v="Delivered"/>
    <s v="Medium"/>
    <s v="Normal Order"/>
    <s v="Electronics-Kolkata"/>
    <s v="Ele"/>
    <m/>
  </r>
  <r>
    <x v="19"/>
    <s v="Wireless Earbuds"/>
    <x v="1"/>
    <n v="799"/>
    <x v="3"/>
    <s v="2023-01-02"/>
    <x v="4"/>
    <x v="1"/>
    <n v="799"/>
    <n v="97"/>
    <s v="Delivered"/>
    <s v="High"/>
    <s v="Normal Order"/>
    <s v="Fitness-Delhi"/>
    <s v="Fit"/>
    <m/>
  </r>
  <r>
    <x v="20"/>
    <s v="Fitness Band"/>
    <x v="2"/>
    <n v="2661"/>
    <x v="0"/>
    <s v="2023-12-06"/>
    <x v="3"/>
    <x v="0"/>
    <n v="10644"/>
    <n v="26"/>
    <s v="Delivered"/>
    <s v="Medium"/>
    <s v="Bulk Order"/>
    <s v="Home-Mumbai"/>
    <s v="Hom"/>
    <m/>
  </r>
  <r>
    <x v="21"/>
    <s v="Water Bottle"/>
    <x v="3"/>
    <n v="2070"/>
    <x v="1"/>
    <s v="2023-01-23"/>
    <x v="5"/>
    <x v="3"/>
    <n v="6210"/>
    <n v="87"/>
    <s v="Delivered"/>
    <s v="Low"/>
    <s v="Bulk Order"/>
    <s v="Accessories-Bangalore"/>
    <s v="Acc"/>
    <m/>
  </r>
  <r>
    <x v="22"/>
    <s v="Power Bank"/>
    <x v="4"/>
    <n v="3216"/>
    <x v="3"/>
    <s v="2023-04-13"/>
    <x v="3"/>
    <x v="1"/>
    <n v="3216"/>
    <n v="45"/>
    <s v="Delivered"/>
    <s v="Medium"/>
    <s v="Normal Order"/>
    <s v="Electronics-Mumbai"/>
    <s v="Ele"/>
    <m/>
  </r>
  <r>
    <x v="23"/>
    <s v="Smartphone Case"/>
    <x v="3"/>
    <n v="4438"/>
    <x v="0"/>
    <s v="2023-08-10"/>
    <x v="3"/>
    <x v="1"/>
    <n v="17752"/>
    <n v="34"/>
    <s v="Pending"/>
    <s v="High"/>
    <s v="Bulk Order"/>
    <s v="Accessories-Mumbai"/>
    <s v="Acc"/>
    <m/>
  </r>
  <r>
    <x v="24"/>
    <s v="Coffee Mug"/>
    <x v="0"/>
    <n v="3063"/>
    <x v="3"/>
    <s v="2023-12-13"/>
    <x v="5"/>
    <x v="2"/>
    <n v="3063"/>
    <n v="22"/>
    <s v="Delivered"/>
    <s v="Low"/>
    <s v="Normal Order"/>
    <s v="Lifestyle-Bangalore"/>
    <s v="Lif"/>
    <m/>
  </r>
  <r>
    <x v="25"/>
    <s v="Laptop Stand"/>
    <x v="1"/>
    <n v="604"/>
    <x v="3"/>
    <s v="2023-02-17"/>
    <x v="5"/>
    <x v="2"/>
    <n v="604"/>
    <n v="57"/>
    <s v="Delivered"/>
    <s v="High"/>
    <s v="Normal Order"/>
    <s v="Fitness-Bangalore"/>
    <s v="Fit"/>
    <m/>
  </r>
  <r>
    <x v="26"/>
    <s v="Backpack"/>
    <x v="3"/>
    <n v="4220"/>
    <x v="0"/>
    <s v="2023-11-27"/>
    <x v="5"/>
    <x v="2"/>
    <n v="16880"/>
    <n v="89"/>
    <s v="Delivered"/>
    <s v="Low"/>
    <s v="Bulk Order"/>
    <s v="Accessories-Bangalore"/>
    <s v="Acc"/>
    <m/>
  </r>
  <r>
    <x v="27"/>
    <s v="Power Bank"/>
    <x v="0"/>
    <n v="4665"/>
    <x v="2"/>
    <s v="2023-03-13"/>
    <x v="5"/>
    <x v="0"/>
    <n v="9330"/>
    <n v="78"/>
    <s v="Delivered"/>
    <s v="Low"/>
    <s v="Normal Order"/>
    <s v="Lifestyle-Bangalore"/>
    <s v="Lif"/>
    <m/>
  </r>
  <r>
    <x v="28"/>
    <s v="Backpack"/>
    <x v="0"/>
    <n v="4052"/>
    <x v="3"/>
    <s v="2023-03-25"/>
    <x v="2"/>
    <x v="0"/>
    <n v="4052"/>
    <n v="49"/>
    <s v="Delivered"/>
    <s v="Medium"/>
    <s v="Normal Order"/>
    <s v="Lifestyle-Hyderabad"/>
    <s v="Lif"/>
    <m/>
  </r>
  <r>
    <x v="29"/>
    <s v="USB Cable"/>
    <x v="4"/>
    <n v="2716"/>
    <x v="0"/>
    <s v="2023-11-24"/>
    <x v="3"/>
    <x v="1"/>
    <n v="10864"/>
    <n v="79"/>
    <s v="Delivered"/>
    <s v="High"/>
    <s v="Bulk Order"/>
    <s v="Electronics-Mumbai"/>
    <s v="Ele"/>
    <m/>
  </r>
  <r>
    <x v="30"/>
    <s v="Desk Organizer"/>
    <x v="2"/>
    <n v="4286"/>
    <x v="2"/>
    <s v="2023-01-14"/>
    <x v="0"/>
    <x v="3"/>
    <n v="8572"/>
    <n v="20"/>
    <s v="Delivered"/>
    <s v="Medium"/>
    <s v="Normal Order"/>
    <s v="Home-Chennai"/>
    <s v="Hom"/>
    <m/>
  </r>
  <r>
    <x v="31"/>
    <s v="Bluetooth Speaker"/>
    <x v="0"/>
    <n v="3019"/>
    <x v="3"/>
    <s v="2023-08-31"/>
    <x v="4"/>
    <x v="2"/>
    <n v="3019"/>
    <n v="29"/>
    <s v="Delivered"/>
    <s v="Medium"/>
    <s v="Normal Order"/>
    <s v="Lifestyle-Delhi"/>
    <s v="Lif"/>
    <m/>
  </r>
  <r>
    <x v="32"/>
    <s v="Laptop Stand"/>
    <x v="3"/>
    <n v="4343"/>
    <x v="3"/>
    <s v="2023-05-18"/>
    <x v="5"/>
    <x v="0"/>
    <n v="4343"/>
    <n v="62"/>
    <s v="Delivered"/>
    <s v="High"/>
    <s v="Normal Order"/>
    <s v="Accessories-Bangalore"/>
    <s v="Acc"/>
    <m/>
  </r>
  <r>
    <x v="33"/>
    <s v="Water Bottle"/>
    <x v="1"/>
    <n v="950"/>
    <x v="3"/>
    <s v="2023-10-18"/>
    <x v="2"/>
    <x v="1"/>
    <n v="950"/>
    <n v="96"/>
    <s v="Pending"/>
    <s v="Medium"/>
    <s v="Normal Order"/>
    <s v="Fitness-Hyderabad"/>
    <s v="Fit"/>
    <m/>
  </r>
  <r>
    <x v="34"/>
    <s v="Water Bottle"/>
    <x v="1"/>
    <n v="3205"/>
    <x v="3"/>
    <s v="2023-07-14"/>
    <x v="4"/>
    <x v="2"/>
    <n v="3205"/>
    <n v="94"/>
    <s v="Delivered"/>
    <s v="High"/>
    <s v="Normal Order"/>
    <s v="Fitness-Delhi"/>
    <s v="Fit"/>
    <m/>
  </r>
  <r>
    <x v="35"/>
    <s v="Smartphone Case"/>
    <x v="3"/>
    <n v="3318"/>
    <x v="3"/>
    <s v="2023-09-20"/>
    <x v="3"/>
    <x v="0"/>
    <n v="3318"/>
    <n v="21"/>
    <s v="Delivered"/>
    <s v="High"/>
    <s v="Normal Order"/>
    <s v="Accessories-Mumbai"/>
    <s v="Acc"/>
    <m/>
  </r>
  <r>
    <x v="36"/>
    <s v="Backpack"/>
    <x v="1"/>
    <n v="3153"/>
    <x v="2"/>
    <s v="2023-03-02"/>
    <x v="1"/>
    <x v="3"/>
    <n v="6306"/>
    <n v="32"/>
    <s v="Delivered"/>
    <s v="Medium"/>
    <s v="Normal Order"/>
    <s v="Fitness-Kolkata"/>
    <s v="Fit"/>
    <m/>
  </r>
  <r>
    <x v="37"/>
    <s v="Bluetooth Speaker"/>
    <x v="2"/>
    <n v="2495"/>
    <x v="0"/>
    <s v="2023-01-24"/>
    <x v="3"/>
    <x v="1"/>
    <n v="9980"/>
    <n v="98"/>
    <s v="Cancelled"/>
    <s v="High"/>
    <s v="Bulk Order"/>
    <s v="Home-Mumbai"/>
    <s v="Hom"/>
    <m/>
  </r>
  <r>
    <x v="38"/>
    <s v="Backpack"/>
    <x v="0"/>
    <n v="248"/>
    <x v="3"/>
    <s v="2023-04-24"/>
    <x v="4"/>
    <x v="2"/>
    <n v="248"/>
    <n v="65"/>
    <s v="Delivered"/>
    <s v="Medium"/>
    <s v="Normal Order"/>
    <s v="Lifestyle-Delhi"/>
    <s v="Lif"/>
    <m/>
  </r>
  <r>
    <x v="39"/>
    <s v="Water Bottle"/>
    <x v="0"/>
    <n v="687"/>
    <x v="2"/>
    <s v="2023-10-29"/>
    <x v="5"/>
    <x v="2"/>
    <n v="1374"/>
    <n v="62"/>
    <s v="Delivered"/>
    <s v="High"/>
    <s v="Normal Order"/>
    <s v="Lifestyle-Bangalore"/>
    <s v="Lif"/>
    <m/>
  </r>
  <r>
    <x v="40"/>
    <s v="Coffee Mug"/>
    <x v="4"/>
    <n v="4549"/>
    <x v="1"/>
    <s v="2023-11-21"/>
    <x v="4"/>
    <x v="2"/>
    <n v="13647"/>
    <n v="21"/>
    <s v="Delivered"/>
    <s v="Medium"/>
    <s v="Bulk Order"/>
    <s v="Electronics-Delhi"/>
    <s v="Ele"/>
    <m/>
  </r>
  <r>
    <x v="41"/>
    <s v="Coffee Mug"/>
    <x v="2"/>
    <n v="2029"/>
    <x v="1"/>
    <s v="2023-12-26"/>
    <x v="1"/>
    <x v="0"/>
    <n v="6087"/>
    <n v="34"/>
    <s v="Pending"/>
    <s v="Medium"/>
    <s v="Bulk Order"/>
    <s v="Home-Kolkata"/>
    <s v="Hom"/>
    <m/>
  </r>
  <r>
    <x v="42"/>
    <s v="Backpack"/>
    <x v="2"/>
    <n v="4949"/>
    <x v="1"/>
    <s v="2023-08-31"/>
    <x v="5"/>
    <x v="3"/>
    <n v="14847"/>
    <n v="53"/>
    <s v="Delivered"/>
    <s v="High"/>
    <s v="Bulk Order"/>
    <s v="Home-Bangalore"/>
    <s v="Hom"/>
    <m/>
  </r>
  <r>
    <x v="43"/>
    <s v="USB Cable"/>
    <x v="3"/>
    <n v="2391"/>
    <x v="3"/>
    <s v="2023-03-21"/>
    <x v="3"/>
    <x v="3"/>
    <n v="2391"/>
    <n v="81"/>
    <s v="Delivered"/>
    <s v="High"/>
    <s v="Normal Order"/>
    <s v="Accessories-Mumbai"/>
    <s v="Acc"/>
    <m/>
  </r>
  <r>
    <x v="44"/>
    <s v="Backpack"/>
    <x v="2"/>
    <n v="4732"/>
    <x v="0"/>
    <s v="2023-02-12"/>
    <x v="1"/>
    <x v="3"/>
    <n v="18928"/>
    <n v="61"/>
    <s v="Delivered"/>
    <s v="Low"/>
    <s v="Bulk Order"/>
    <s v="Home-Kolkata"/>
    <s v="Hom"/>
    <m/>
  </r>
  <r>
    <x v="45"/>
    <s v="Wireless Earbuds"/>
    <x v="0"/>
    <n v="2309"/>
    <x v="1"/>
    <s v="2023-03-22"/>
    <x v="4"/>
    <x v="2"/>
    <n v="6927"/>
    <n v="45"/>
    <s v="Delivered"/>
    <s v="Medium"/>
    <s v="Bulk Order"/>
    <s v="Lifestyle-Delhi"/>
    <s v="Lif"/>
    <m/>
  </r>
  <r>
    <x v="46"/>
    <s v="Laptop Stand"/>
    <x v="2"/>
    <n v="3802"/>
    <x v="0"/>
    <s v="2023-12-19"/>
    <x v="0"/>
    <x v="0"/>
    <n v="15208"/>
    <n v="38"/>
    <s v="Delivered"/>
    <s v="Low"/>
    <s v="Bulk Order"/>
    <s v="Home-Chennai"/>
    <s v="Hom"/>
    <m/>
  </r>
  <r>
    <x v="47"/>
    <s v="Laptop Stand"/>
    <x v="3"/>
    <n v="1993"/>
    <x v="2"/>
    <s v="2023-06-07"/>
    <x v="4"/>
    <x v="1"/>
    <n v="3986"/>
    <n v="49"/>
    <s v="Pending"/>
    <s v="Medium"/>
    <s v="Normal Order"/>
    <s v="Accessories-Delhi"/>
    <s v="Acc"/>
    <m/>
  </r>
  <r>
    <x v="48"/>
    <s v="Backpack"/>
    <x v="0"/>
    <n v="4683"/>
    <x v="0"/>
    <s v="2023-03-24"/>
    <x v="1"/>
    <x v="0"/>
    <n v="18732"/>
    <n v="44"/>
    <s v="Delivered"/>
    <s v="Medium"/>
    <s v="Bulk Order"/>
    <s v="Lifestyle-Kolkata"/>
    <s v="Lif"/>
    <m/>
  </r>
  <r>
    <x v="49"/>
    <s v="Desk Organizer"/>
    <x v="4"/>
    <n v="3741"/>
    <x v="2"/>
    <s v="2023-10-25"/>
    <x v="1"/>
    <x v="2"/>
    <n v="7482"/>
    <n v="99"/>
    <s v="Pending"/>
    <s v="Low"/>
    <s v="Normal Order"/>
    <s v="Electronics-Kolkata"/>
    <s v="Ele"/>
    <m/>
  </r>
  <r>
    <x v="50"/>
    <s v="USB Cable"/>
    <x v="3"/>
    <n v="4840"/>
    <x v="0"/>
    <s v="2023-04-21"/>
    <x v="2"/>
    <x v="3"/>
    <n v="19360"/>
    <n v="25"/>
    <s v="Delivered"/>
    <s v="Medium"/>
    <s v="Bulk Order"/>
    <s v="Accessories-Hyderabad"/>
    <s v="Acc"/>
    <m/>
  </r>
  <r>
    <x v="51"/>
    <s v="Wireless Earbuds"/>
    <x v="2"/>
    <n v="4681"/>
    <x v="2"/>
    <s v="2023-04-23"/>
    <x v="4"/>
    <x v="1"/>
    <n v="9362"/>
    <n v="29"/>
    <s v="Cancelled"/>
    <s v="Medium"/>
    <s v="Normal Order"/>
    <s v="Home-Delhi"/>
    <s v="Hom"/>
    <m/>
  </r>
  <r>
    <x v="52"/>
    <s v="Smartphone Case"/>
    <x v="3"/>
    <n v="1165"/>
    <x v="0"/>
    <s v="2023-08-22"/>
    <x v="2"/>
    <x v="1"/>
    <n v="4660"/>
    <n v="93"/>
    <s v="Delivered"/>
    <s v="Medium"/>
    <s v="Bulk Order"/>
    <s v="Accessories-Hyderabad"/>
    <s v="Acc"/>
    <m/>
  </r>
  <r>
    <x v="53"/>
    <s v="Power Bank"/>
    <x v="2"/>
    <n v="2907"/>
    <x v="3"/>
    <s v="2023-07-26"/>
    <x v="2"/>
    <x v="1"/>
    <n v="2907"/>
    <n v="96"/>
    <s v="Delivered"/>
    <s v="Low"/>
    <s v="Normal Order"/>
    <s v="Home-Hyderabad"/>
    <s v="Hom"/>
    <m/>
  </r>
  <r>
    <x v="54"/>
    <s v="Desk Organizer"/>
    <x v="4"/>
    <n v="2905"/>
    <x v="1"/>
    <s v="2023-12-28"/>
    <x v="2"/>
    <x v="3"/>
    <n v="8715"/>
    <n v="53"/>
    <s v="Delivered"/>
    <s v="Medium"/>
    <s v="Bulk Order"/>
    <s v="Electronics-Hyderabad"/>
    <s v="Ele"/>
    <m/>
  </r>
  <r>
    <x v="55"/>
    <s v="LED Bulb"/>
    <x v="4"/>
    <n v="1377"/>
    <x v="3"/>
    <s v="2023-01-08"/>
    <x v="5"/>
    <x v="2"/>
    <n v="1377"/>
    <n v="53"/>
    <s v="Delivered"/>
    <s v="High"/>
    <s v="Normal Order"/>
    <s v="Electronics-Bangalore"/>
    <s v="Ele"/>
    <m/>
  </r>
  <r>
    <x v="56"/>
    <s v="Smartphone Case"/>
    <x v="0"/>
    <n v="3046"/>
    <x v="2"/>
    <s v="2023-09-15"/>
    <x v="1"/>
    <x v="0"/>
    <n v="6092"/>
    <n v="89"/>
    <s v="Pending"/>
    <s v="Low"/>
    <s v="Normal Order"/>
    <s v="Lifestyle-Kolkata"/>
    <s v="Lif"/>
    <m/>
  </r>
  <r>
    <x v="57"/>
    <s v="Fitness Band"/>
    <x v="4"/>
    <n v="3935"/>
    <x v="1"/>
    <s v="2023-02-08"/>
    <x v="1"/>
    <x v="2"/>
    <n v="11805"/>
    <n v="64"/>
    <s v="Delivered"/>
    <s v="Low"/>
    <s v="Bulk Order"/>
    <s v="Electronics-Kolkata"/>
    <s v="Ele"/>
    <m/>
  </r>
  <r>
    <x v="58"/>
    <s v="USB Cable"/>
    <x v="0"/>
    <n v="3912"/>
    <x v="3"/>
    <s v="2023-10-09"/>
    <x v="1"/>
    <x v="3"/>
    <n v="3912"/>
    <n v="80"/>
    <s v="Cancelled"/>
    <s v="Low"/>
    <s v="Normal Order"/>
    <s v="Lifestyle-Kolkata"/>
    <s v="Lif"/>
    <m/>
  </r>
  <r>
    <x v="59"/>
    <s v="Wireless Earbuds"/>
    <x v="1"/>
    <n v="657"/>
    <x v="0"/>
    <s v="2023-11-26"/>
    <x v="4"/>
    <x v="2"/>
    <n v="2628"/>
    <n v="36"/>
    <s v="Delivered"/>
    <s v="High"/>
    <s v="Bulk Order"/>
    <s v="Fitness-Delhi"/>
    <s v="Fit"/>
    <m/>
  </r>
  <r>
    <x v="60"/>
    <s v="Desk Organizer"/>
    <x v="1"/>
    <n v="2980"/>
    <x v="2"/>
    <s v="2023-10-14"/>
    <x v="0"/>
    <x v="3"/>
    <n v="5960"/>
    <n v="66"/>
    <s v="Pending"/>
    <s v="High"/>
    <s v="Normal Order"/>
    <s v="Fitness-Chennai"/>
    <s v="Fit"/>
    <m/>
  </r>
  <r>
    <x v="61"/>
    <s v="Coffee Mug"/>
    <x v="0"/>
    <n v="3955"/>
    <x v="2"/>
    <s v="2023-03-21"/>
    <x v="1"/>
    <x v="0"/>
    <n v="7910"/>
    <n v="97"/>
    <s v="Delivered"/>
    <s v="Medium"/>
    <s v="Normal Order"/>
    <s v="Lifestyle-Kolkata"/>
    <s v="Lif"/>
    <m/>
  </r>
  <r>
    <x v="62"/>
    <s v="USB Cable"/>
    <x v="3"/>
    <n v="3002"/>
    <x v="0"/>
    <s v="2023-09-28"/>
    <x v="4"/>
    <x v="3"/>
    <n v="12008"/>
    <n v="41"/>
    <s v="Delivered"/>
    <s v="Medium"/>
    <s v="Bulk Order"/>
    <s v="Accessories-Delhi"/>
    <s v="Acc"/>
    <m/>
  </r>
  <r>
    <x v="63"/>
    <s v="Coffee Mug"/>
    <x v="0"/>
    <n v="4860"/>
    <x v="2"/>
    <s v="2023-05-30"/>
    <x v="4"/>
    <x v="2"/>
    <n v="9720"/>
    <n v="49"/>
    <s v="Delivered"/>
    <s v="Medium"/>
    <s v="Normal Order"/>
    <s v="Lifestyle-Delhi"/>
    <s v="Lif"/>
    <m/>
  </r>
  <r>
    <x v="64"/>
    <s v="Coffee Mug"/>
    <x v="2"/>
    <n v="760"/>
    <x v="2"/>
    <s v="2023-05-11"/>
    <x v="0"/>
    <x v="1"/>
    <n v="1520"/>
    <n v="70"/>
    <s v="Delivered"/>
    <s v="Medium"/>
    <s v="Normal Order"/>
    <s v="Home-Chennai"/>
    <s v="Hom"/>
    <m/>
  </r>
  <r>
    <x v="65"/>
    <s v="USB Cable"/>
    <x v="3"/>
    <n v="511"/>
    <x v="0"/>
    <s v="2023-09-30"/>
    <x v="4"/>
    <x v="1"/>
    <n v="2044"/>
    <n v="32"/>
    <s v="Delivered"/>
    <s v="Low"/>
    <s v="Bulk Order"/>
    <s v="Accessories-Delhi"/>
    <s v="Acc"/>
    <m/>
  </r>
  <r>
    <x v="66"/>
    <s v="Smartphone Case"/>
    <x v="3"/>
    <n v="2748"/>
    <x v="0"/>
    <s v="2023-05-01"/>
    <x v="1"/>
    <x v="0"/>
    <n v="10992"/>
    <n v="21"/>
    <s v="Delivered"/>
    <s v="High"/>
    <s v="Bulk Order"/>
    <s v="Accessories-Kolkata"/>
    <s v="Acc"/>
    <m/>
  </r>
  <r>
    <x v="67"/>
    <s v="USB Cable"/>
    <x v="2"/>
    <n v="4585"/>
    <x v="1"/>
    <s v="2023-05-17"/>
    <x v="5"/>
    <x v="0"/>
    <n v="13755"/>
    <n v="29"/>
    <s v="Delivered"/>
    <s v="High"/>
    <s v="Bulk Order"/>
    <s v="Home-Bangalore"/>
    <s v="Hom"/>
    <m/>
  </r>
  <r>
    <x v="68"/>
    <s v="Power Bank"/>
    <x v="3"/>
    <n v="788"/>
    <x v="3"/>
    <s v="2023-12-06"/>
    <x v="0"/>
    <x v="0"/>
    <n v="788"/>
    <n v="83"/>
    <s v="Pending"/>
    <s v="High"/>
    <s v="Normal Order"/>
    <s v="Accessories-Chennai"/>
    <s v="Acc"/>
    <m/>
  </r>
  <r>
    <x v="69"/>
    <s v="LED Bulb"/>
    <x v="1"/>
    <n v="2191"/>
    <x v="1"/>
    <s v="2023-03-14"/>
    <x v="4"/>
    <x v="3"/>
    <n v="6573"/>
    <n v="36"/>
    <s v="Delivered"/>
    <s v="Low"/>
    <s v="Bulk Order"/>
    <s v="Fitness-Delhi"/>
    <s v="Fit"/>
    <m/>
  </r>
  <r>
    <x v="70"/>
    <s v="Desk Organizer"/>
    <x v="1"/>
    <n v="1048"/>
    <x v="1"/>
    <s v="2023-04-30"/>
    <x v="1"/>
    <x v="1"/>
    <n v="3144"/>
    <n v="100"/>
    <s v="Delivered"/>
    <s v="Medium"/>
    <s v="Bulk Order"/>
    <s v="Fitness-Kolkata"/>
    <s v="Fit"/>
    <m/>
  </r>
  <r>
    <x v="71"/>
    <s v="Water Bottle"/>
    <x v="2"/>
    <n v="1994"/>
    <x v="2"/>
    <s v="2023-01-15"/>
    <x v="2"/>
    <x v="2"/>
    <n v="3988"/>
    <n v="100"/>
    <s v="Delivered"/>
    <s v="High"/>
    <s v="Normal Order"/>
    <s v="Home-Hyderabad"/>
    <s v="Hom"/>
    <m/>
  </r>
  <r>
    <x v="72"/>
    <s v="Water Bottle"/>
    <x v="2"/>
    <n v="230"/>
    <x v="2"/>
    <s v="2023-11-07"/>
    <x v="3"/>
    <x v="2"/>
    <n v="460"/>
    <n v="20"/>
    <s v="Pending"/>
    <s v="High"/>
    <s v="Normal Order"/>
    <s v="Home-Mumbai"/>
    <s v="Hom"/>
    <m/>
  </r>
  <r>
    <x v="73"/>
    <s v="Coffee Mug"/>
    <x v="0"/>
    <n v="4733"/>
    <x v="1"/>
    <s v="2023-05-06"/>
    <x v="5"/>
    <x v="0"/>
    <n v="14199"/>
    <n v="85"/>
    <s v="Delivered"/>
    <s v="Medium"/>
    <s v="Bulk Order"/>
    <s v="Lifestyle-Bangalore"/>
    <s v="Lif"/>
    <m/>
  </r>
  <r>
    <x v="74"/>
    <s v="Water Bottle"/>
    <x v="0"/>
    <n v="3616"/>
    <x v="2"/>
    <s v="2023-01-06"/>
    <x v="3"/>
    <x v="0"/>
    <n v="7232"/>
    <n v="81"/>
    <s v="Delivered"/>
    <s v="High"/>
    <s v="Normal Order"/>
    <s v="Lifestyle-Mumbai"/>
    <s v="Lif"/>
    <m/>
  </r>
  <r>
    <x v="75"/>
    <s v="Desk Organizer"/>
    <x v="3"/>
    <n v="4283"/>
    <x v="2"/>
    <s v="2023-05-12"/>
    <x v="2"/>
    <x v="3"/>
    <n v="8566"/>
    <n v="42"/>
    <s v="Delivered"/>
    <s v="Medium"/>
    <s v="Normal Order"/>
    <s v="Accessories-Hyderabad"/>
    <s v="Acc"/>
    <m/>
  </r>
  <r>
    <x v="76"/>
    <s v="Laptop Stand"/>
    <x v="4"/>
    <n v="1487"/>
    <x v="3"/>
    <s v="2023-08-31"/>
    <x v="2"/>
    <x v="0"/>
    <n v="1487"/>
    <n v="53"/>
    <s v="Delivered"/>
    <s v="Low"/>
    <s v="Normal Order"/>
    <s v="Electronics-Hyderabad"/>
    <s v="Ele"/>
    <m/>
  </r>
  <r>
    <x v="77"/>
    <s v="Wireless Earbuds"/>
    <x v="4"/>
    <n v="1594"/>
    <x v="1"/>
    <s v="2023-02-18"/>
    <x v="0"/>
    <x v="3"/>
    <n v="4782"/>
    <n v="82"/>
    <s v="Delivered"/>
    <s v="Low"/>
    <s v="Bulk Order"/>
    <s v="Electronics-Chennai"/>
    <s v="Ele"/>
    <m/>
  </r>
  <r>
    <x v="78"/>
    <s v="Water Bottle"/>
    <x v="1"/>
    <n v="3589"/>
    <x v="1"/>
    <s v="2023-09-13"/>
    <x v="0"/>
    <x v="0"/>
    <n v="10767"/>
    <n v="48"/>
    <s v="Delivered"/>
    <s v="Medium"/>
    <s v="Bulk Order"/>
    <s v="Fitness-Chennai"/>
    <s v="Fit"/>
    <m/>
  </r>
  <r>
    <x v="79"/>
    <s v="Water Bottle"/>
    <x v="4"/>
    <n v="2748"/>
    <x v="2"/>
    <s v="2023-06-11"/>
    <x v="1"/>
    <x v="3"/>
    <n v="5496"/>
    <n v="24"/>
    <s v="Delivered"/>
    <s v="High"/>
    <s v="Normal Order"/>
    <s v="Electronics-Kolkata"/>
    <s v="Ele"/>
    <m/>
  </r>
  <r>
    <x v="80"/>
    <s v="Bluetooth Speaker"/>
    <x v="2"/>
    <n v="4310"/>
    <x v="0"/>
    <s v="2023-09-07"/>
    <x v="0"/>
    <x v="2"/>
    <n v="17240"/>
    <n v="73"/>
    <s v="Delivered"/>
    <s v="Low"/>
    <s v="Bulk Order"/>
    <s v="Home-Chennai"/>
    <s v="Hom"/>
    <m/>
  </r>
  <r>
    <x v="81"/>
    <s v="LED Bulb"/>
    <x v="1"/>
    <n v="4194"/>
    <x v="3"/>
    <s v="2023-06-28"/>
    <x v="1"/>
    <x v="2"/>
    <n v="4194"/>
    <n v="52"/>
    <s v="Pending"/>
    <s v="High"/>
    <s v="Normal Order"/>
    <s v="Fitness-Kolkata"/>
    <s v="Fit"/>
    <m/>
  </r>
  <r>
    <x v="82"/>
    <s v="LED Bulb"/>
    <x v="4"/>
    <n v="852"/>
    <x v="3"/>
    <s v="2023-08-15"/>
    <x v="5"/>
    <x v="2"/>
    <n v="852"/>
    <n v="80"/>
    <s v="Delivered"/>
    <s v="Medium"/>
    <s v="Normal Order"/>
    <s v="Electronics-Bangalore"/>
    <s v="Ele"/>
    <m/>
  </r>
  <r>
    <x v="83"/>
    <s v="LED Bulb"/>
    <x v="0"/>
    <n v="3330"/>
    <x v="0"/>
    <s v="2023-05-29"/>
    <x v="4"/>
    <x v="2"/>
    <n v="13320"/>
    <n v="91"/>
    <s v="Cancelled"/>
    <s v="Low"/>
    <s v="Bulk Order"/>
    <s v="Lifestyle-Delhi"/>
    <s v="Lif"/>
    <m/>
  </r>
  <r>
    <x v="84"/>
    <s v="Water Bottle"/>
    <x v="3"/>
    <n v="3545"/>
    <x v="3"/>
    <s v="2023-01-09"/>
    <x v="2"/>
    <x v="2"/>
    <n v="3545"/>
    <n v="79"/>
    <s v="Delivered"/>
    <s v="Medium"/>
    <s v="Normal Order"/>
    <s v="Accessories-Hyderabad"/>
    <s v="Acc"/>
    <m/>
  </r>
  <r>
    <x v="85"/>
    <s v="USB Cable"/>
    <x v="1"/>
    <n v="2184"/>
    <x v="1"/>
    <s v="2023-01-05"/>
    <x v="1"/>
    <x v="1"/>
    <n v="6552"/>
    <n v="94"/>
    <s v="Pending"/>
    <s v="Medium"/>
    <s v="Bulk Order"/>
    <s v="Fitness-Kolkata"/>
    <s v="Fit"/>
    <m/>
  </r>
  <r>
    <x v="86"/>
    <s v="Desk Organizer"/>
    <x v="1"/>
    <n v="2823"/>
    <x v="0"/>
    <s v="2023-07-15"/>
    <x v="0"/>
    <x v="1"/>
    <n v="11292"/>
    <n v="78"/>
    <s v="Delivered"/>
    <s v="Medium"/>
    <s v="Bulk Order"/>
    <s v="Fitness-Chennai"/>
    <s v="Fit"/>
    <m/>
  </r>
  <r>
    <x v="87"/>
    <s v="Wireless Earbuds"/>
    <x v="3"/>
    <n v="3820"/>
    <x v="3"/>
    <s v="2023-05-20"/>
    <x v="0"/>
    <x v="3"/>
    <n v="3820"/>
    <n v="74"/>
    <s v="Pending"/>
    <s v="Medium"/>
    <s v="Normal Order"/>
    <s v="Accessories-Chennai"/>
    <s v="Acc"/>
    <m/>
  </r>
  <r>
    <x v="88"/>
    <s v="USB Cable"/>
    <x v="4"/>
    <n v="1331"/>
    <x v="3"/>
    <s v="2023-05-08"/>
    <x v="3"/>
    <x v="3"/>
    <n v="1331"/>
    <n v="39"/>
    <s v="Delivered"/>
    <s v="Medium"/>
    <s v="Normal Order"/>
    <s v="Electronics-Mumbai"/>
    <s v="Ele"/>
    <m/>
  </r>
  <r>
    <x v="89"/>
    <s v="Desk Organizer"/>
    <x v="0"/>
    <n v="4458"/>
    <x v="2"/>
    <s v="2023-04-08"/>
    <x v="3"/>
    <x v="1"/>
    <n v="8916"/>
    <n v="29"/>
    <s v="Delivered"/>
    <s v="Medium"/>
    <s v="Normal Order"/>
    <s v="Lifestyle-Mumbai"/>
    <s v="Lif"/>
    <m/>
  </r>
  <r>
    <x v="90"/>
    <s v="Wireless Earbuds"/>
    <x v="3"/>
    <n v="3603"/>
    <x v="1"/>
    <s v="2023-02-18"/>
    <x v="4"/>
    <x v="2"/>
    <n v="10809"/>
    <n v="62"/>
    <s v="Delivered"/>
    <s v="Medium"/>
    <s v="Bulk Order"/>
    <s v="Accessories-Delhi"/>
    <s v="Acc"/>
    <m/>
  </r>
  <r>
    <x v="91"/>
    <s v="Coffee Mug"/>
    <x v="0"/>
    <n v="2635"/>
    <x v="3"/>
    <s v="2023-10-15"/>
    <x v="3"/>
    <x v="2"/>
    <n v="2635"/>
    <n v="30"/>
    <s v="Delivered"/>
    <s v="High"/>
    <s v="Normal Order"/>
    <s v="Lifestyle-Mumbai"/>
    <s v="Lif"/>
    <m/>
  </r>
  <r>
    <x v="92"/>
    <s v="Power Bank"/>
    <x v="2"/>
    <n v="3648"/>
    <x v="2"/>
    <s v="2023-08-22"/>
    <x v="4"/>
    <x v="3"/>
    <n v="7296"/>
    <n v="83"/>
    <s v="Pending"/>
    <s v="Low"/>
    <s v="Normal Order"/>
    <s v="Home-Delhi"/>
    <s v="Hom"/>
    <m/>
  </r>
  <r>
    <x v="93"/>
    <s v="LED Bulb"/>
    <x v="2"/>
    <n v="619"/>
    <x v="1"/>
    <s v="2023-03-26"/>
    <x v="2"/>
    <x v="0"/>
    <n v="1857"/>
    <n v="22"/>
    <s v="Delivered"/>
    <s v="Medium"/>
    <s v="Bulk Order"/>
    <s v="Home-Hyderabad"/>
    <s v="Hom"/>
    <m/>
  </r>
  <r>
    <x v="94"/>
    <s v="Water Bottle"/>
    <x v="3"/>
    <n v="1435"/>
    <x v="2"/>
    <s v="2023-09-09"/>
    <x v="0"/>
    <x v="1"/>
    <n v="2870"/>
    <n v="27"/>
    <s v="Cancelled"/>
    <s v="Low"/>
    <s v="Normal Order"/>
    <s v="Accessories-Chennai"/>
    <s v="Acc"/>
    <m/>
  </r>
  <r>
    <x v="95"/>
    <s v="LED Bulb"/>
    <x v="4"/>
    <n v="2630"/>
    <x v="1"/>
    <s v="2023-05-25"/>
    <x v="0"/>
    <x v="2"/>
    <n v="7890"/>
    <n v="100"/>
    <s v="Delivered"/>
    <s v="High"/>
    <s v="Bulk Order"/>
    <s v="Electronics-Chennai"/>
    <s v="Ele"/>
    <m/>
  </r>
  <r>
    <x v="96"/>
    <s v="Fitness Band"/>
    <x v="0"/>
    <n v="3441"/>
    <x v="1"/>
    <s v="2023-09-13"/>
    <x v="5"/>
    <x v="2"/>
    <n v="10323"/>
    <n v="23"/>
    <s v="Delivered"/>
    <s v="Medium"/>
    <s v="Bulk Order"/>
    <s v="Lifestyle-Bangalore"/>
    <s v="Lif"/>
    <m/>
  </r>
  <r>
    <x v="97"/>
    <s v="USB Cable"/>
    <x v="4"/>
    <n v="1246"/>
    <x v="2"/>
    <s v="2023-01-18"/>
    <x v="3"/>
    <x v="3"/>
    <n v="2492"/>
    <n v="30"/>
    <s v="Delivered"/>
    <s v="High"/>
    <s v="Normal Order"/>
    <s v="Electronics-Mumbai"/>
    <s v="Ele"/>
    <m/>
  </r>
  <r>
    <x v="98"/>
    <s v="Water Bottle"/>
    <x v="4"/>
    <n v="311"/>
    <x v="1"/>
    <s v="2023-09-29"/>
    <x v="4"/>
    <x v="3"/>
    <n v="933"/>
    <n v="50"/>
    <s v="Pending"/>
    <s v="High"/>
    <s v="Bulk Order"/>
    <s v="Electronics-Delhi"/>
    <s v="Ele"/>
    <m/>
  </r>
  <r>
    <x v="99"/>
    <s v="Wireless Earbuds"/>
    <x v="0"/>
    <n v="3548"/>
    <x v="1"/>
    <s v="2023-01-10"/>
    <x v="5"/>
    <x v="3"/>
    <n v="10644"/>
    <n v="81"/>
    <s v="Delivered"/>
    <s v="Low"/>
    <s v="Bulk Order"/>
    <s v="Lifestyle-Bangalore"/>
    <s v="Lif"/>
    <m/>
  </r>
  <r>
    <x v="100"/>
    <s v="USB Cable"/>
    <x v="3"/>
    <n v="2679"/>
    <x v="1"/>
    <s v="2023-10-07"/>
    <x v="4"/>
    <x v="0"/>
    <n v="8037"/>
    <n v="57"/>
    <s v="Delivered"/>
    <s v="Low"/>
    <s v="Bulk Order"/>
    <s v="Accessories-Delhi"/>
    <s v="Acc"/>
    <m/>
  </r>
  <r>
    <x v="101"/>
    <s v="Laptop Stand"/>
    <x v="1"/>
    <n v="1514"/>
    <x v="1"/>
    <s v="2023-02-16"/>
    <x v="0"/>
    <x v="2"/>
    <n v="4542"/>
    <n v="86"/>
    <s v="Delivered"/>
    <s v="High"/>
    <s v="Bulk Order"/>
    <s v="Fitness-Chennai"/>
    <s v="Fit"/>
    <m/>
  </r>
  <r>
    <x v="102"/>
    <s v="Wireless Earbuds"/>
    <x v="2"/>
    <n v="3532"/>
    <x v="1"/>
    <s v="2023-07-15"/>
    <x v="2"/>
    <x v="2"/>
    <n v="10596"/>
    <n v="71"/>
    <s v="Delivered"/>
    <s v="High"/>
    <s v="Bulk Order"/>
    <s v="Home-Hyderabad"/>
    <s v="Hom"/>
    <m/>
  </r>
  <r>
    <x v="103"/>
    <s v="Coffee Mug"/>
    <x v="3"/>
    <n v="3650"/>
    <x v="1"/>
    <s v="2023-09-11"/>
    <x v="1"/>
    <x v="3"/>
    <n v="10950"/>
    <n v="56"/>
    <s v="Cancelled"/>
    <s v="Medium"/>
    <s v="Bulk Order"/>
    <s v="Accessories-Kolkata"/>
    <s v="Acc"/>
    <m/>
  </r>
  <r>
    <x v="104"/>
    <s v="Fitness Band"/>
    <x v="1"/>
    <n v="2922"/>
    <x v="1"/>
    <s v="2023-01-11"/>
    <x v="5"/>
    <x v="2"/>
    <n v="8766"/>
    <n v="65"/>
    <s v="Delivered"/>
    <s v="Medium"/>
    <s v="Bulk Order"/>
    <s v="Fitness-Bangalore"/>
    <s v="Fit"/>
    <m/>
  </r>
  <r>
    <x v="105"/>
    <s v="USB Cable"/>
    <x v="1"/>
    <n v="1558"/>
    <x v="2"/>
    <s v="2023-12-07"/>
    <x v="0"/>
    <x v="2"/>
    <n v="3116"/>
    <n v="38"/>
    <s v="Delivered"/>
    <s v="Medium"/>
    <s v="Normal Order"/>
    <s v="Fitness-Chennai"/>
    <s v="Fit"/>
    <m/>
  </r>
  <r>
    <x v="106"/>
    <s v="Power Bank"/>
    <x v="1"/>
    <n v="4970"/>
    <x v="3"/>
    <s v="2023-03-15"/>
    <x v="4"/>
    <x v="2"/>
    <n v="4970"/>
    <n v="50"/>
    <s v="Delivered"/>
    <s v="Low"/>
    <s v="Normal Order"/>
    <s v="Fitness-Delhi"/>
    <s v="Fit"/>
    <m/>
  </r>
  <r>
    <x v="107"/>
    <s v="Coffee Mug"/>
    <x v="1"/>
    <n v="584"/>
    <x v="0"/>
    <s v="2023-10-11"/>
    <x v="5"/>
    <x v="3"/>
    <n v="2336"/>
    <n v="84"/>
    <s v="Delivered"/>
    <s v="Low"/>
    <s v="Bulk Order"/>
    <s v="Fitness-Bangalore"/>
    <s v="Fit"/>
    <m/>
  </r>
  <r>
    <x v="108"/>
    <s v="Bluetooth Speaker"/>
    <x v="2"/>
    <n v="4917"/>
    <x v="3"/>
    <s v="2023-08-25"/>
    <x v="0"/>
    <x v="1"/>
    <n v="4917"/>
    <n v="67"/>
    <s v="Delivered"/>
    <s v="Medium"/>
    <s v="Normal Order"/>
    <s v="Home-Chennai"/>
    <s v="Hom"/>
    <m/>
  </r>
  <r>
    <x v="109"/>
    <s v="Bluetooth Speaker"/>
    <x v="2"/>
    <n v="4055"/>
    <x v="2"/>
    <s v="2023-05-02"/>
    <x v="1"/>
    <x v="0"/>
    <n v="8110"/>
    <n v="63"/>
    <s v="Delivered"/>
    <s v="Low"/>
    <s v="Normal Order"/>
    <s v="Home-Kolkata"/>
    <s v="Hom"/>
    <m/>
  </r>
  <r>
    <x v="110"/>
    <s v="Coffee Mug"/>
    <x v="4"/>
    <n v="4016"/>
    <x v="0"/>
    <s v="2023-04-05"/>
    <x v="1"/>
    <x v="3"/>
    <n v="16064"/>
    <n v="75"/>
    <s v="Cancelled"/>
    <s v="High"/>
    <s v="Bulk Order"/>
    <s v="Electronics-Kolkata"/>
    <s v="Ele"/>
    <m/>
  </r>
  <r>
    <x v="111"/>
    <s v="Power Bank"/>
    <x v="4"/>
    <n v="1886"/>
    <x v="3"/>
    <s v="2023-06-25"/>
    <x v="4"/>
    <x v="2"/>
    <n v="1886"/>
    <n v="52"/>
    <s v="Delivered"/>
    <s v="Medium"/>
    <s v="Normal Order"/>
    <s v="Electronics-Delhi"/>
    <s v="Ele"/>
    <m/>
  </r>
  <r>
    <x v="112"/>
    <s v="Fitness Band"/>
    <x v="1"/>
    <n v="4750"/>
    <x v="1"/>
    <s v="2023-02-21"/>
    <x v="3"/>
    <x v="0"/>
    <n v="14250"/>
    <n v="98"/>
    <s v="Cancelled"/>
    <s v="High"/>
    <s v="Bulk Order"/>
    <s v="Fitness-Mumbai"/>
    <s v="Fit"/>
    <m/>
  </r>
  <r>
    <x v="113"/>
    <s v="Power Bank"/>
    <x v="2"/>
    <n v="4520"/>
    <x v="2"/>
    <s v="2023-12-27"/>
    <x v="3"/>
    <x v="2"/>
    <n v="9040"/>
    <n v="89"/>
    <s v="Pending"/>
    <s v="High"/>
    <s v="Normal Order"/>
    <s v="Home-Mumbai"/>
    <s v="Hom"/>
    <m/>
  </r>
  <r>
    <x v="114"/>
    <s v="Desk Organizer"/>
    <x v="0"/>
    <n v="1348"/>
    <x v="0"/>
    <s v="2023-07-28"/>
    <x v="4"/>
    <x v="3"/>
    <n v="5392"/>
    <n v="80"/>
    <s v="Cancelled"/>
    <s v="High"/>
    <s v="Bulk Order"/>
    <s v="Lifestyle-Delhi"/>
    <s v="Lif"/>
    <m/>
  </r>
  <r>
    <x v="115"/>
    <s v="Desk Organizer"/>
    <x v="1"/>
    <n v="1080"/>
    <x v="1"/>
    <s v="2023-11-12"/>
    <x v="0"/>
    <x v="2"/>
    <n v="3240"/>
    <n v="64"/>
    <s v="Pending"/>
    <s v="Medium"/>
    <s v="Bulk Order"/>
    <s v="Fitness-Chennai"/>
    <s v="Fit"/>
    <m/>
  </r>
  <r>
    <x v="116"/>
    <s v="Backpack"/>
    <x v="2"/>
    <n v="4776"/>
    <x v="3"/>
    <s v="2023-08-08"/>
    <x v="2"/>
    <x v="1"/>
    <n v="4776"/>
    <n v="54"/>
    <s v="Pending"/>
    <s v="Medium"/>
    <s v="Normal Order"/>
    <s v="Home-Hyderabad"/>
    <s v="Hom"/>
    <m/>
  </r>
  <r>
    <x v="117"/>
    <s v="Fitness Band"/>
    <x v="3"/>
    <n v="4063"/>
    <x v="2"/>
    <s v="2023-07-22"/>
    <x v="0"/>
    <x v="1"/>
    <n v="8126"/>
    <n v="84"/>
    <s v="Delivered"/>
    <s v="High"/>
    <s v="Normal Order"/>
    <s v="Accessories-Chennai"/>
    <s v="Acc"/>
    <m/>
  </r>
  <r>
    <x v="118"/>
    <s v="LED Bulb"/>
    <x v="1"/>
    <n v="3845"/>
    <x v="0"/>
    <s v="2023-07-29"/>
    <x v="0"/>
    <x v="2"/>
    <n v="15380"/>
    <n v="52"/>
    <s v="Pending"/>
    <s v="Low"/>
    <s v="Bulk Order"/>
    <s v="Fitness-Chennai"/>
    <s v="Fit"/>
    <m/>
  </r>
  <r>
    <x v="119"/>
    <s v="Power Bank"/>
    <x v="4"/>
    <n v="2804"/>
    <x v="0"/>
    <s v="2023-11-08"/>
    <x v="3"/>
    <x v="2"/>
    <n v="11216"/>
    <n v="65"/>
    <s v="Pending"/>
    <s v="Medium"/>
    <s v="Bulk Order"/>
    <s v="Electronics-Mumbai"/>
    <s v="Ele"/>
    <m/>
  </r>
  <r>
    <x v="120"/>
    <s v="USB Cable"/>
    <x v="4"/>
    <n v="767"/>
    <x v="1"/>
    <s v="2023-10-08"/>
    <x v="1"/>
    <x v="2"/>
    <n v="2301"/>
    <n v="45"/>
    <s v="Delivered"/>
    <s v="Medium"/>
    <s v="Bulk Order"/>
    <s v="Electronics-Kolkata"/>
    <s v="Ele"/>
    <m/>
  </r>
  <r>
    <x v="121"/>
    <s v="Desk Organizer"/>
    <x v="3"/>
    <n v="3735"/>
    <x v="2"/>
    <s v="2023-08-11"/>
    <x v="2"/>
    <x v="3"/>
    <n v="7470"/>
    <n v="27"/>
    <s v="Delivered"/>
    <s v="Medium"/>
    <s v="Normal Order"/>
    <s v="Accessories-Hyderabad"/>
    <s v="Acc"/>
    <m/>
  </r>
  <r>
    <x v="122"/>
    <s v="Desk Organizer"/>
    <x v="0"/>
    <n v="2249"/>
    <x v="3"/>
    <s v="2023-12-03"/>
    <x v="1"/>
    <x v="3"/>
    <n v="2249"/>
    <n v="96"/>
    <s v="Pending"/>
    <s v="Medium"/>
    <s v="Normal Order"/>
    <s v="Lifestyle-Kolkata"/>
    <s v="Lif"/>
    <m/>
  </r>
  <r>
    <x v="123"/>
    <s v="Water Bottle"/>
    <x v="0"/>
    <n v="875"/>
    <x v="1"/>
    <s v="2023-04-11"/>
    <x v="4"/>
    <x v="2"/>
    <n v="2625"/>
    <n v="88"/>
    <s v="Delivered"/>
    <s v="High"/>
    <s v="Bulk Order"/>
    <s v="Lifestyle-Delhi"/>
    <s v="Lif"/>
    <m/>
  </r>
  <r>
    <x v="124"/>
    <s v="Laptop Stand"/>
    <x v="0"/>
    <n v="1163"/>
    <x v="0"/>
    <s v="2023-07-25"/>
    <x v="3"/>
    <x v="0"/>
    <n v="4652"/>
    <n v="43"/>
    <s v="Delivered"/>
    <s v="Low"/>
    <s v="Bulk Order"/>
    <s v="Lifestyle-Mumbai"/>
    <s v="Lif"/>
    <m/>
  </r>
  <r>
    <x v="125"/>
    <s v="Desk Organizer"/>
    <x v="4"/>
    <n v="206"/>
    <x v="0"/>
    <s v="2023-09-06"/>
    <x v="0"/>
    <x v="0"/>
    <n v="824"/>
    <n v="48"/>
    <s v="Cancelled"/>
    <s v="Low"/>
    <s v="Bulk Order"/>
    <s v="Electronics-Chennai"/>
    <s v="Ele"/>
    <m/>
  </r>
  <r>
    <x v="126"/>
    <s v="Smartphone Case"/>
    <x v="2"/>
    <n v="1071"/>
    <x v="1"/>
    <s v="2023-07-25"/>
    <x v="5"/>
    <x v="2"/>
    <n v="3213"/>
    <n v="55"/>
    <s v="Delivered"/>
    <s v="High"/>
    <s v="Bulk Order"/>
    <s v="Home-Bangalore"/>
    <s v="Hom"/>
    <m/>
  </r>
  <r>
    <x v="127"/>
    <s v="Laptop Stand"/>
    <x v="0"/>
    <n v="4187"/>
    <x v="2"/>
    <s v="2023-07-13"/>
    <x v="1"/>
    <x v="0"/>
    <n v="8374"/>
    <n v="38"/>
    <s v="Delivered"/>
    <s v="Medium"/>
    <s v="Normal Order"/>
    <s v="Lifestyle-Kolkata"/>
    <s v="Lif"/>
    <m/>
  </r>
  <r>
    <x v="128"/>
    <s v="Water Bottle"/>
    <x v="2"/>
    <n v="3023"/>
    <x v="2"/>
    <s v="2023-03-21"/>
    <x v="3"/>
    <x v="3"/>
    <n v="6046"/>
    <n v="98"/>
    <s v="Delivered"/>
    <s v="Medium"/>
    <s v="Normal Order"/>
    <s v="Home-Mumbai"/>
    <s v="Hom"/>
    <m/>
  </r>
  <r>
    <x v="129"/>
    <s v="USB Cable"/>
    <x v="4"/>
    <n v="1603"/>
    <x v="3"/>
    <s v="2023-09-30"/>
    <x v="5"/>
    <x v="0"/>
    <n v="1603"/>
    <n v="34"/>
    <s v="Delivered"/>
    <s v="Medium"/>
    <s v="Normal Order"/>
    <s v="Electronics-Bangalore"/>
    <s v="Ele"/>
    <m/>
  </r>
  <r>
    <x v="130"/>
    <s v="Power Bank"/>
    <x v="0"/>
    <n v="4338"/>
    <x v="2"/>
    <s v="2023-11-29"/>
    <x v="3"/>
    <x v="0"/>
    <n v="8676"/>
    <n v="99"/>
    <s v="Cancelled"/>
    <s v="High"/>
    <s v="Normal Order"/>
    <s v="Lifestyle-Mumbai"/>
    <s v="Lif"/>
    <m/>
  </r>
  <r>
    <x v="131"/>
    <s v="Bluetooth Speaker"/>
    <x v="4"/>
    <n v="1912"/>
    <x v="3"/>
    <s v="2023-03-20"/>
    <x v="3"/>
    <x v="2"/>
    <n v="1912"/>
    <n v="77"/>
    <s v="Delivered"/>
    <s v="High"/>
    <s v="Normal Order"/>
    <s v="Electronics-Mumbai"/>
    <s v="Ele"/>
    <m/>
  </r>
  <r>
    <x v="132"/>
    <s v="Desk Organizer"/>
    <x v="3"/>
    <n v="1530"/>
    <x v="3"/>
    <s v="2023-12-14"/>
    <x v="1"/>
    <x v="1"/>
    <n v="1530"/>
    <n v="93"/>
    <s v="Delivered"/>
    <s v="High"/>
    <s v="Normal Order"/>
    <s v="Accessories-Kolkata"/>
    <s v="Acc"/>
    <m/>
  </r>
  <r>
    <x v="133"/>
    <s v="Backpack"/>
    <x v="1"/>
    <n v="636"/>
    <x v="0"/>
    <s v="2023-01-28"/>
    <x v="3"/>
    <x v="0"/>
    <n v="2544"/>
    <n v="59"/>
    <s v="Pending"/>
    <s v="Low"/>
    <s v="Bulk Order"/>
    <s v="Fitness-Mumbai"/>
    <s v="Fit"/>
    <m/>
  </r>
  <r>
    <x v="134"/>
    <s v="USB Cable"/>
    <x v="4"/>
    <n v="581"/>
    <x v="2"/>
    <s v="2023-02-28"/>
    <x v="0"/>
    <x v="2"/>
    <n v="1162"/>
    <n v="42"/>
    <s v="Delivered"/>
    <s v="Medium"/>
    <s v="Normal Order"/>
    <s v="Electronics-Chennai"/>
    <s v="Ele"/>
    <m/>
  </r>
  <r>
    <x v="135"/>
    <s v="Laptop Stand"/>
    <x v="2"/>
    <n v="3953"/>
    <x v="2"/>
    <s v="2023-12-19"/>
    <x v="2"/>
    <x v="2"/>
    <n v="7906"/>
    <n v="83"/>
    <s v="Delivered"/>
    <s v="Medium"/>
    <s v="Normal Order"/>
    <s v="Home-Hyderabad"/>
    <s v="Hom"/>
    <m/>
  </r>
  <r>
    <x v="136"/>
    <s v="Desk Organizer"/>
    <x v="1"/>
    <n v="3617"/>
    <x v="1"/>
    <s v="2023-04-17"/>
    <x v="5"/>
    <x v="1"/>
    <n v="10851"/>
    <n v="38"/>
    <s v="Pending"/>
    <s v="Medium"/>
    <s v="Bulk Order"/>
    <s v="Fitness-Bangalore"/>
    <s v="Fit"/>
    <m/>
  </r>
  <r>
    <x v="137"/>
    <s v="Laptop Stand"/>
    <x v="1"/>
    <n v="2150"/>
    <x v="3"/>
    <s v="2023-12-15"/>
    <x v="3"/>
    <x v="3"/>
    <n v="2150"/>
    <n v="80"/>
    <s v="Delivered"/>
    <s v="Medium"/>
    <s v="Normal Order"/>
    <s v="Fitness-Mumbai"/>
    <s v="Fit"/>
    <m/>
  </r>
  <r>
    <x v="138"/>
    <s v="Power Bank"/>
    <x v="1"/>
    <n v="4983"/>
    <x v="1"/>
    <s v="2023-09-28"/>
    <x v="4"/>
    <x v="1"/>
    <n v="14949"/>
    <n v="93"/>
    <s v="Pending"/>
    <s v="Medium"/>
    <s v="Bulk Order"/>
    <s v="Fitness-Delhi"/>
    <s v="Fit"/>
    <m/>
  </r>
  <r>
    <x v="139"/>
    <s v="Water Bottle"/>
    <x v="4"/>
    <n v="498"/>
    <x v="0"/>
    <s v="2023-07-23"/>
    <x v="1"/>
    <x v="2"/>
    <n v="1992"/>
    <n v="30"/>
    <s v="Delivered"/>
    <s v="Medium"/>
    <s v="Bulk Order"/>
    <s v="Electronics-Kolkata"/>
    <s v="Ele"/>
    <m/>
  </r>
  <r>
    <x v="140"/>
    <s v="Water Bottle"/>
    <x v="3"/>
    <n v="4843"/>
    <x v="0"/>
    <s v="2023-07-26"/>
    <x v="5"/>
    <x v="2"/>
    <n v="19372"/>
    <n v="82"/>
    <s v="Pending"/>
    <s v="Medium"/>
    <s v="Bulk Order"/>
    <s v="Accessories-Bangalore"/>
    <s v="Acc"/>
    <m/>
  </r>
  <r>
    <x v="141"/>
    <s v="Coffee Mug"/>
    <x v="1"/>
    <n v="4869"/>
    <x v="2"/>
    <s v="2023-08-29"/>
    <x v="4"/>
    <x v="1"/>
    <n v="9738"/>
    <n v="89"/>
    <s v="Delivered"/>
    <s v="High"/>
    <s v="Normal Order"/>
    <s v="Fitness-Delhi"/>
    <s v="Fit"/>
    <m/>
  </r>
  <r>
    <x v="142"/>
    <s v="Desk Organizer"/>
    <x v="4"/>
    <n v="2184"/>
    <x v="3"/>
    <s v="2023-06-10"/>
    <x v="2"/>
    <x v="1"/>
    <n v="2184"/>
    <n v="90"/>
    <s v="Delivered"/>
    <s v="Medium"/>
    <s v="Normal Order"/>
    <s v="Electronics-Hyderabad"/>
    <s v="Ele"/>
    <m/>
  </r>
  <r>
    <x v="143"/>
    <s v="LED Bulb"/>
    <x v="3"/>
    <n v="227"/>
    <x v="1"/>
    <s v="2023-01-25"/>
    <x v="0"/>
    <x v="3"/>
    <n v="681"/>
    <n v="24"/>
    <s v="Delivered"/>
    <s v="Medium"/>
    <s v="Bulk Order"/>
    <s v="Accessories-Chennai"/>
    <s v="Acc"/>
    <m/>
  </r>
  <r>
    <x v="144"/>
    <s v="LED Bulb"/>
    <x v="2"/>
    <n v="3292"/>
    <x v="2"/>
    <s v="2023-12-11"/>
    <x v="4"/>
    <x v="3"/>
    <n v="6584"/>
    <n v="60"/>
    <s v="Cancelled"/>
    <s v="High"/>
    <s v="Normal Order"/>
    <s v="Home-Delhi"/>
    <s v="Hom"/>
    <m/>
  </r>
  <r>
    <x v="145"/>
    <s v="LED Bulb"/>
    <x v="0"/>
    <n v="1738"/>
    <x v="0"/>
    <s v="2023-03-28"/>
    <x v="3"/>
    <x v="1"/>
    <n v="6952"/>
    <n v="84"/>
    <s v="Cancelled"/>
    <s v="Medium"/>
    <s v="Bulk Order"/>
    <s v="Lifestyle-Mumbai"/>
    <s v="Lif"/>
    <m/>
  </r>
  <r>
    <x v="146"/>
    <s v="Desk Organizer"/>
    <x v="1"/>
    <n v="2512"/>
    <x v="3"/>
    <s v="2023-01-30"/>
    <x v="2"/>
    <x v="3"/>
    <n v="2512"/>
    <n v="54"/>
    <s v="Delivered"/>
    <s v="Low"/>
    <s v="Normal Order"/>
    <s v="Fitness-Hyderabad"/>
    <s v="Fit"/>
    <m/>
  </r>
  <r>
    <x v="147"/>
    <s v="Power Bank"/>
    <x v="1"/>
    <n v="4246"/>
    <x v="0"/>
    <s v="2023-06-09"/>
    <x v="5"/>
    <x v="1"/>
    <n v="16984"/>
    <n v="74"/>
    <s v="Delivered"/>
    <s v="Medium"/>
    <s v="Bulk Order"/>
    <s v="Fitness-Bangalore"/>
    <s v="Fit"/>
    <m/>
  </r>
  <r>
    <x v="148"/>
    <s v="Laptop Stand"/>
    <x v="3"/>
    <n v="3378"/>
    <x v="3"/>
    <s v="2023-01-17"/>
    <x v="4"/>
    <x v="3"/>
    <n v="3378"/>
    <n v="65"/>
    <s v="Delivered"/>
    <s v="Medium"/>
    <s v="Normal Order"/>
    <s v="Accessories-Delhi"/>
    <s v="Acc"/>
    <m/>
  </r>
  <r>
    <x v="149"/>
    <s v="Water Bottle"/>
    <x v="4"/>
    <n v="3444"/>
    <x v="0"/>
    <s v="2023-06-12"/>
    <x v="5"/>
    <x v="2"/>
    <n v="13776"/>
    <n v="82"/>
    <s v="Delivered"/>
    <s v="Medium"/>
    <s v="Bulk Order"/>
    <s v="Electronics-Bangalore"/>
    <s v="Ele"/>
    <m/>
  </r>
  <r>
    <x v="150"/>
    <s v="Laptop Stand"/>
    <x v="0"/>
    <n v="1026"/>
    <x v="2"/>
    <s v="2023-01-04"/>
    <x v="5"/>
    <x v="0"/>
    <n v="2052"/>
    <n v="37"/>
    <s v="Delivered"/>
    <s v="Medium"/>
    <s v="Normal Order"/>
    <s v="Lifestyle-Bangalore"/>
    <s v="Lif"/>
    <m/>
  </r>
  <r>
    <x v="151"/>
    <s v="Bluetooth Speaker"/>
    <x v="3"/>
    <n v="617"/>
    <x v="0"/>
    <s v="2023-04-04"/>
    <x v="4"/>
    <x v="1"/>
    <n v="2468"/>
    <n v="90"/>
    <s v="Pending"/>
    <s v="Low"/>
    <s v="Bulk Order"/>
    <s v="Accessories-Delhi"/>
    <s v="Acc"/>
    <m/>
  </r>
  <r>
    <x v="152"/>
    <s v="LED Bulb"/>
    <x v="3"/>
    <n v="2287"/>
    <x v="1"/>
    <s v="2023-03-21"/>
    <x v="5"/>
    <x v="2"/>
    <n v="6861"/>
    <n v="96"/>
    <s v="Delivered"/>
    <s v="High"/>
    <s v="Bulk Order"/>
    <s v="Accessories-Bangalore"/>
    <s v="Acc"/>
    <m/>
  </r>
  <r>
    <x v="153"/>
    <s v="Laptop Stand"/>
    <x v="4"/>
    <n v="1217"/>
    <x v="2"/>
    <s v="2023-10-07"/>
    <x v="5"/>
    <x v="0"/>
    <n v="2434"/>
    <n v="100"/>
    <s v="Delivered"/>
    <s v="Medium"/>
    <s v="Normal Order"/>
    <s v="Electronics-Bangalore"/>
    <s v="Ele"/>
    <m/>
  </r>
  <r>
    <x v="154"/>
    <s v="USB Cable"/>
    <x v="1"/>
    <n v="2599"/>
    <x v="3"/>
    <s v="2023-10-01"/>
    <x v="4"/>
    <x v="3"/>
    <n v="2599"/>
    <n v="78"/>
    <s v="Delivered"/>
    <s v="High"/>
    <s v="Normal Order"/>
    <s v="Fitness-Delhi"/>
    <s v="Fit"/>
    <m/>
  </r>
  <r>
    <x v="155"/>
    <s v="Smartphone Case"/>
    <x v="0"/>
    <n v="3761"/>
    <x v="1"/>
    <s v="2023-05-08"/>
    <x v="1"/>
    <x v="0"/>
    <n v="11283"/>
    <n v="64"/>
    <s v="Delivered"/>
    <s v="High"/>
    <s v="Bulk Order"/>
    <s v="Lifestyle-Kolkata"/>
    <s v="Lif"/>
    <m/>
  </r>
  <r>
    <x v="156"/>
    <s v="Smartphone Case"/>
    <x v="4"/>
    <n v="2818"/>
    <x v="2"/>
    <s v="2023-01-13"/>
    <x v="2"/>
    <x v="0"/>
    <n v="5636"/>
    <n v="34"/>
    <s v="Delivered"/>
    <s v="High"/>
    <s v="Normal Order"/>
    <s v="Electronics-Hyderabad"/>
    <s v="Ele"/>
    <m/>
  </r>
  <r>
    <x v="157"/>
    <s v="Bluetooth Speaker"/>
    <x v="4"/>
    <n v="255"/>
    <x v="1"/>
    <s v="2023-08-11"/>
    <x v="0"/>
    <x v="2"/>
    <n v="765"/>
    <n v="47"/>
    <s v="Delivered"/>
    <s v="High"/>
    <s v="Bulk Order"/>
    <s v="Electronics-Chennai"/>
    <s v="Ele"/>
    <m/>
  </r>
  <r>
    <x v="158"/>
    <s v="LED Bulb"/>
    <x v="0"/>
    <n v="3586"/>
    <x v="1"/>
    <s v="2023-11-13"/>
    <x v="4"/>
    <x v="3"/>
    <n v="10758"/>
    <n v="47"/>
    <s v="Delivered"/>
    <s v="High"/>
    <s v="Bulk Order"/>
    <s v="Lifestyle-Delhi"/>
    <s v="Lif"/>
    <m/>
  </r>
  <r>
    <x v="159"/>
    <s v="Desk Organizer"/>
    <x v="2"/>
    <n v="652"/>
    <x v="0"/>
    <s v="2023-02-14"/>
    <x v="3"/>
    <x v="3"/>
    <n v="2608"/>
    <n v="43"/>
    <s v="Delivered"/>
    <s v="Low"/>
    <s v="Bulk Order"/>
    <s v="Home-Mumbai"/>
    <s v="Hom"/>
    <m/>
  </r>
  <r>
    <x v="160"/>
    <s v="Desk Organizer"/>
    <x v="2"/>
    <n v="386"/>
    <x v="2"/>
    <s v="2023-05-24"/>
    <x v="3"/>
    <x v="2"/>
    <n v="772"/>
    <n v="60"/>
    <s v="Delivered"/>
    <s v="Medium"/>
    <s v="Normal Order"/>
    <s v="Home-Mumbai"/>
    <s v="Hom"/>
    <m/>
  </r>
  <r>
    <x v="161"/>
    <s v="USB Cable"/>
    <x v="1"/>
    <n v="1736"/>
    <x v="2"/>
    <s v="2023-07-04"/>
    <x v="3"/>
    <x v="2"/>
    <n v="3472"/>
    <n v="56"/>
    <s v="Delivered"/>
    <s v="High"/>
    <s v="Normal Order"/>
    <s v="Fitness-Mumbai"/>
    <s v="Fit"/>
    <m/>
  </r>
  <r>
    <x v="162"/>
    <s v="Bluetooth Speaker"/>
    <x v="4"/>
    <n v="2920"/>
    <x v="2"/>
    <s v="2023-02-22"/>
    <x v="3"/>
    <x v="3"/>
    <n v="5840"/>
    <n v="85"/>
    <s v="Delivered"/>
    <s v="High"/>
    <s v="Normal Order"/>
    <s v="Electronics-Mumbai"/>
    <s v="Ele"/>
    <m/>
  </r>
  <r>
    <x v="163"/>
    <s v="Fitness Band"/>
    <x v="1"/>
    <n v="1498"/>
    <x v="1"/>
    <s v="2023-03-31"/>
    <x v="4"/>
    <x v="0"/>
    <n v="4494"/>
    <n v="55"/>
    <s v="Delivered"/>
    <s v="Medium"/>
    <s v="Bulk Order"/>
    <s v="Fitness-Delhi"/>
    <s v="Fit"/>
    <m/>
  </r>
  <r>
    <x v="164"/>
    <s v="LED Bulb"/>
    <x v="4"/>
    <n v="1734"/>
    <x v="2"/>
    <s v="2023-02-14"/>
    <x v="2"/>
    <x v="1"/>
    <n v="3468"/>
    <n v="88"/>
    <s v="Delivered"/>
    <s v="Medium"/>
    <s v="Normal Order"/>
    <s v="Electronics-Hyderabad"/>
    <s v="Ele"/>
    <m/>
  </r>
  <r>
    <x v="165"/>
    <s v="LED Bulb"/>
    <x v="0"/>
    <n v="4825"/>
    <x v="2"/>
    <s v="2023-11-16"/>
    <x v="4"/>
    <x v="0"/>
    <n v="9650"/>
    <n v="86"/>
    <s v="Delivered"/>
    <s v="Low"/>
    <s v="Normal Order"/>
    <s v="Lifestyle-Delhi"/>
    <s v="Lif"/>
    <m/>
  </r>
  <r>
    <x v="166"/>
    <s v="LED Bulb"/>
    <x v="3"/>
    <n v="4632"/>
    <x v="0"/>
    <s v="2023-02-17"/>
    <x v="4"/>
    <x v="0"/>
    <n v="18528"/>
    <n v="44"/>
    <s v="Delivered"/>
    <s v="Medium"/>
    <s v="Bulk Order"/>
    <s v="Accessories-Delhi"/>
    <s v="Acc"/>
    <m/>
  </r>
  <r>
    <x v="167"/>
    <s v="Laptop Stand"/>
    <x v="3"/>
    <n v="2785"/>
    <x v="2"/>
    <s v="2023-10-14"/>
    <x v="4"/>
    <x v="3"/>
    <n v="5570"/>
    <n v="95"/>
    <s v="Delivered"/>
    <s v="Medium"/>
    <s v="Normal Order"/>
    <s v="Accessories-Delhi"/>
    <s v="Acc"/>
    <m/>
  </r>
  <r>
    <x v="168"/>
    <s v="Fitness Band"/>
    <x v="0"/>
    <n v="2640"/>
    <x v="1"/>
    <s v="2023-01-01"/>
    <x v="3"/>
    <x v="0"/>
    <n v="7920"/>
    <n v="50"/>
    <s v="Pending"/>
    <s v="Medium"/>
    <s v="Bulk Order"/>
    <s v="Lifestyle-Mumbai"/>
    <s v="Lif"/>
    <m/>
  </r>
  <r>
    <x v="169"/>
    <s v="Water Bottle"/>
    <x v="1"/>
    <n v="2517"/>
    <x v="3"/>
    <s v="2023-10-28"/>
    <x v="3"/>
    <x v="0"/>
    <n v="2517"/>
    <n v="100"/>
    <s v="Delivered"/>
    <s v="Medium"/>
    <s v="Normal Order"/>
    <s v="Fitness-Mumbai"/>
    <s v="Fit"/>
    <m/>
  </r>
  <r>
    <x v="170"/>
    <s v="Water Bottle"/>
    <x v="1"/>
    <n v="1969"/>
    <x v="2"/>
    <s v="2023-06-29"/>
    <x v="5"/>
    <x v="3"/>
    <n v="3938"/>
    <n v="40"/>
    <s v="Pending"/>
    <s v="Medium"/>
    <s v="Normal Order"/>
    <s v="Fitness-Bangalore"/>
    <s v="Fit"/>
    <m/>
  </r>
  <r>
    <x v="171"/>
    <s v="Desk Organizer"/>
    <x v="4"/>
    <n v="2802"/>
    <x v="1"/>
    <s v="2023-02-10"/>
    <x v="4"/>
    <x v="3"/>
    <n v="8406"/>
    <n v="79"/>
    <s v="Cancelled"/>
    <s v="Medium"/>
    <s v="Bulk Order"/>
    <s v="Electronics-Delhi"/>
    <s v="Ele"/>
    <m/>
  </r>
  <r>
    <x v="172"/>
    <s v="Coffee Mug"/>
    <x v="4"/>
    <n v="3413"/>
    <x v="0"/>
    <s v="2023-10-13"/>
    <x v="1"/>
    <x v="3"/>
    <n v="13652"/>
    <n v="46"/>
    <s v="Delivered"/>
    <s v="Low"/>
    <s v="Bulk Order"/>
    <s v="Electronics-Kolkata"/>
    <s v="Ele"/>
    <m/>
  </r>
  <r>
    <x v="173"/>
    <s v="Bluetooth Speaker"/>
    <x v="0"/>
    <n v="4004"/>
    <x v="2"/>
    <s v="2023-06-23"/>
    <x v="4"/>
    <x v="1"/>
    <n v="8008"/>
    <n v="25"/>
    <s v="Pending"/>
    <s v="Medium"/>
    <s v="Normal Order"/>
    <s v="Lifestyle-Delhi"/>
    <s v="Lif"/>
    <m/>
  </r>
  <r>
    <x v="174"/>
    <s v="Fitness Band"/>
    <x v="0"/>
    <n v="3520"/>
    <x v="3"/>
    <s v="2023-08-28"/>
    <x v="3"/>
    <x v="3"/>
    <n v="3520"/>
    <n v="94"/>
    <s v="Delivered"/>
    <s v="Medium"/>
    <s v="Normal Order"/>
    <s v="Lifestyle-Mumbai"/>
    <s v="Lif"/>
    <m/>
  </r>
  <r>
    <x v="175"/>
    <s v="Water Bottle"/>
    <x v="3"/>
    <n v="2890"/>
    <x v="2"/>
    <s v="2023-11-11"/>
    <x v="0"/>
    <x v="1"/>
    <n v="5780"/>
    <n v="64"/>
    <s v="Delivered"/>
    <s v="Medium"/>
    <s v="Normal Order"/>
    <s v="Accessories-Chennai"/>
    <s v="Acc"/>
    <m/>
  </r>
  <r>
    <x v="176"/>
    <s v="LED Bulb"/>
    <x v="2"/>
    <n v="443"/>
    <x v="2"/>
    <s v="2023-04-01"/>
    <x v="5"/>
    <x v="3"/>
    <n v="886"/>
    <n v="97"/>
    <s v="Delivered"/>
    <s v="Low"/>
    <s v="Normal Order"/>
    <s v="Home-Bangalore"/>
    <s v="Hom"/>
    <m/>
  </r>
  <r>
    <x v="177"/>
    <s v="USB Cable"/>
    <x v="2"/>
    <n v="290"/>
    <x v="2"/>
    <s v="2023-12-28"/>
    <x v="0"/>
    <x v="3"/>
    <n v="580"/>
    <n v="88"/>
    <s v="Pending"/>
    <s v="Medium"/>
    <s v="Normal Order"/>
    <s v="Home-Chennai"/>
    <s v="Hom"/>
    <m/>
  </r>
  <r>
    <x v="178"/>
    <s v="Desk Organizer"/>
    <x v="2"/>
    <n v="3717"/>
    <x v="2"/>
    <s v="2023-03-27"/>
    <x v="1"/>
    <x v="3"/>
    <n v="7434"/>
    <n v="26"/>
    <s v="Delivered"/>
    <s v="Low"/>
    <s v="Normal Order"/>
    <s v="Home-Kolkata"/>
    <s v="Hom"/>
    <m/>
  </r>
  <r>
    <x v="179"/>
    <s v="Bluetooth Speaker"/>
    <x v="4"/>
    <n v="405"/>
    <x v="2"/>
    <s v="2023-07-07"/>
    <x v="2"/>
    <x v="1"/>
    <n v="810"/>
    <n v="100"/>
    <s v="Delivered"/>
    <s v="Medium"/>
    <s v="Normal Order"/>
    <s v="Electronics-Hyderabad"/>
    <s v="Ele"/>
    <m/>
  </r>
  <r>
    <x v="180"/>
    <s v="Backpack"/>
    <x v="3"/>
    <n v="1438"/>
    <x v="2"/>
    <s v="2023-09-28"/>
    <x v="5"/>
    <x v="2"/>
    <n v="2876"/>
    <n v="32"/>
    <s v="Delivered"/>
    <s v="Low"/>
    <s v="Normal Order"/>
    <s v="Accessories-Bangalore"/>
    <s v="Acc"/>
    <m/>
  </r>
  <r>
    <x v="181"/>
    <s v="Bluetooth Speaker"/>
    <x v="2"/>
    <n v="3654"/>
    <x v="3"/>
    <s v="2023-07-23"/>
    <x v="2"/>
    <x v="2"/>
    <n v="3654"/>
    <n v="44"/>
    <s v="Pending"/>
    <s v="Low"/>
    <s v="Normal Order"/>
    <s v="Home-Hyderabad"/>
    <s v="Hom"/>
    <m/>
  </r>
  <r>
    <x v="182"/>
    <s v="Bluetooth Speaker"/>
    <x v="1"/>
    <n v="1593"/>
    <x v="1"/>
    <s v="2023-12-17"/>
    <x v="3"/>
    <x v="3"/>
    <n v="4779"/>
    <n v="41"/>
    <s v="Delivered"/>
    <s v="Medium"/>
    <s v="Bulk Order"/>
    <s v="Fitness-Mumbai"/>
    <s v="Fit"/>
    <m/>
  </r>
  <r>
    <x v="183"/>
    <s v="Backpack"/>
    <x v="2"/>
    <n v="2057"/>
    <x v="1"/>
    <s v="2023-07-30"/>
    <x v="5"/>
    <x v="3"/>
    <n v="6171"/>
    <n v="41"/>
    <s v="Pending"/>
    <s v="Medium"/>
    <s v="Bulk Order"/>
    <s v="Home-Bangalore"/>
    <s v="Hom"/>
    <m/>
  </r>
  <r>
    <x v="184"/>
    <s v="Fitness Band"/>
    <x v="0"/>
    <n v="2054"/>
    <x v="2"/>
    <s v="2023-10-10"/>
    <x v="4"/>
    <x v="2"/>
    <n v="4108"/>
    <n v="56"/>
    <s v="Delivered"/>
    <s v="Low"/>
    <s v="Normal Order"/>
    <s v="Lifestyle-Delhi"/>
    <s v="Lif"/>
    <m/>
  </r>
  <r>
    <x v="185"/>
    <s v="Fitness Band"/>
    <x v="3"/>
    <n v="3488"/>
    <x v="1"/>
    <s v="2023-10-10"/>
    <x v="2"/>
    <x v="0"/>
    <n v="10464"/>
    <n v="73"/>
    <s v="Cancelled"/>
    <s v="Medium"/>
    <s v="Bulk Order"/>
    <s v="Accessories-Hyderabad"/>
    <s v="Acc"/>
    <m/>
  </r>
  <r>
    <x v="186"/>
    <s v="Fitness Band"/>
    <x v="2"/>
    <n v="3691"/>
    <x v="1"/>
    <s v="2023-07-03"/>
    <x v="2"/>
    <x v="2"/>
    <n v="11073"/>
    <n v="32"/>
    <s v="Delivered"/>
    <s v="Medium"/>
    <s v="Bulk Order"/>
    <s v="Home-Hyderabad"/>
    <s v="Hom"/>
    <m/>
  </r>
  <r>
    <x v="187"/>
    <s v="LED Bulb"/>
    <x v="2"/>
    <n v="2943"/>
    <x v="0"/>
    <s v="2023-01-15"/>
    <x v="4"/>
    <x v="1"/>
    <n v="11772"/>
    <n v="50"/>
    <s v="Delivered"/>
    <s v="Low"/>
    <s v="Bulk Order"/>
    <s v="Home-Delhi"/>
    <s v="Hom"/>
    <m/>
  </r>
  <r>
    <x v="188"/>
    <s v="Power Bank"/>
    <x v="1"/>
    <n v="4442"/>
    <x v="0"/>
    <s v="2023-09-09"/>
    <x v="4"/>
    <x v="2"/>
    <n v="17768"/>
    <n v="80"/>
    <s v="Delivered"/>
    <s v="Medium"/>
    <s v="Bulk Order"/>
    <s v="Fitness-Delhi"/>
    <s v="Fit"/>
    <m/>
  </r>
  <r>
    <x v="189"/>
    <s v="Fitness Band"/>
    <x v="3"/>
    <n v="2904"/>
    <x v="0"/>
    <s v="2023-11-09"/>
    <x v="3"/>
    <x v="3"/>
    <n v="11616"/>
    <n v="26"/>
    <s v="Pending"/>
    <s v="High"/>
    <s v="Bulk Order"/>
    <s v="Accessories-Mumbai"/>
    <s v="Acc"/>
    <m/>
  </r>
  <r>
    <x v="190"/>
    <s v="Backpack"/>
    <x v="0"/>
    <n v="4522"/>
    <x v="2"/>
    <s v="2023-12-19"/>
    <x v="1"/>
    <x v="2"/>
    <n v="9044"/>
    <n v="27"/>
    <s v="Pending"/>
    <s v="Medium"/>
    <s v="Normal Order"/>
    <s v="Lifestyle-Kolkata"/>
    <s v="Lif"/>
    <m/>
  </r>
  <r>
    <x v="191"/>
    <s v="Power Bank"/>
    <x v="0"/>
    <n v="296"/>
    <x v="0"/>
    <s v="2023-01-30"/>
    <x v="3"/>
    <x v="2"/>
    <n v="1184"/>
    <n v="95"/>
    <s v="Delivered"/>
    <s v="Low"/>
    <s v="Bulk Order"/>
    <s v="Lifestyle-Mumbai"/>
    <s v="Lif"/>
    <m/>
  </r>
  <r>
    <x v="192"/>
    <s v="Water Bottle"/>
    <x v="4"/>
    <n v="400"/>
    <x v="2"/>
    <s v="2023-12-05"/>
    <x v="1"/>
    <x v="3"/>
    <n v="800"/>
    <n v="54"/>
    <s v="Delivered"/>
    <s v="Medium"/>
    <s v="Normal Order"/>
    <s v="Electronics-Kolkata"/>
    <s v="Ele"/>
    <m/>
  </r>
  <r>
    <x v="193"/>
    <s v="Power Bank"/>
    <x v="4"/>
    <n v="4275"/>
    <x v="2"/>
    <s v="2023-04-27"/>
    <x v="4"/>
    <x v="1"/>
    <n v="8550"/>
    <n v="70"/>
    <s v="Pending"/>
    <s v="Low"/>
    <s v="Normal Order"/>
    <s v="Electronics-Delhi"/>
    <s v="Ele"/>
    <m/>
  </r>
  <r>
    <x v="194"/>
    <s v="USB Cable"/>
    <x v="0"/>
    <n v="2784"/>
    <x v="2"/>
    <s v="2023-09-07"/>
    <x v="5"/>
    <x v="2"/>
    <n v="5568"/>
    <n v="62"/>
    <s v="Cancelled"/>
    <s v="High"/>
    <s v="Normal Order"/>
    <s v="Lifestyle-Bangalore"/>
    <s v="Lif"/>
    <m/>
  </r>
  <r>
    <x v="195"/>
    <s v="Smartphone Case"/>
    <x v="3"/>
    <n v="2824"/>
    <x v="0"/>
    <s v="2023-06-05"/>
    <x v="3"/>
    <x v="0"/>
    <n v="11296"/>
    <n v="65"/>
    <s v="Delivered"/>
    <s v="High"/>
    <s v="Bulk Order"/>
    <s v="Accessories-Mumbai"/>
    <s v="Acc"/>
    <m/>
  </r>
  <r>
    <x v="196"/>
    <s v="Power Bank"/>
    <x v="0"/>
    <n v="3776"/>
    <x v="2"/>
    <s v="2023-09-07"/>
    <x v="2"/>
    <x v="3"/>
    <n v="7552"/>
    <n v="55"/>
    <s v="Delivered"/>
    <s v="Medium"/>
    <s v="Normal Order"/>
    <s v="Lifestyle-Hyderabad"/>
    <s v="Lif"/>
    <m/>
  </r>
  <r>
    <x v="197"/>
    <s v="Smartphone Case"/>
    <x v="3"/>
    <n v="2314"/>
    <x v="1"/>
    <s v="2023-02-17"/>
    <x v="3"/>
    <x v="3"/>
    <n v="6942"/>
    <n v="64"/>
    <s v="Pending"/>
    <s v="High"/>
    <s v="Bulk Order"/>
    <s v="Accessories-Mumbai"/>
    <s v="Acc"/>
    <m/>
  </r>
  <r>
    <x v="198"/>
    <s v="Coffee Mug"/>
    <x v="4"/>
    <n v="1546"/>
    <x v="0"/>
    <s v="2023-01-02"/>
    <x v="0"/>
    <x v="1"/>
    <n v="6184"/>
    <n v="34"/>
    <s v="Delivered"/>
    <s v="Low"/>
    <s v="Bulk Order"/>
    <s v="Electronics-Chennai"/>
    <s v="Ele"/>
    <m/>
  </r>
  <r>
    <x v="199"/>
    <s v="Smartphone Case"/>
    <x v="1"/>
    <n v="1782"/>
    <x v="1"/>
    <s v="2023-07-16"/>
    <x v="1"/>
    <x v="2"/>
    <n v="5346"/>
    <n v="90"/>
    <s v="Delivered"/>
    <s v="Medium"/>
    <s v="Bulk Order"/>
    <s v="Fitness-Kolkata"/>
    <s v="Fit"/>
    <m/>
  </r>
  <r>
    <x v="200"/>
    <s v="Fitness Band"/>
    <x v="1"/>
    <n v="4491"/>
    <x v="0"/>
    <s v="2023-06-21"/>
    <x v="4"/>
    <x v="2"/>
    <n v="17964"/>
    <n v="38"/>
    <s v="Pending"/>
    <s v="High"/>
    <s v="Bulk Order"/>
    <s v="Fitness-Delhi"/>
    <s v="Fit"/>
    <m/>
  </r>
  <r>
    <x v="201"/>
    <s v="USB Cable"/>
    <x v="0"/>
    <n v="2793"/>
    <x v="1"/>
    <s v="2023-10-23"/>
    <x v="3"/>
    <x v="2"/>
    <n v="8379"/>
    <n v="62"/>
    <s v="Delivered"/>
    <s v="High"/>
    <s v="Bulk Order"/>
    <s v="Lifestyle-Mumbai"/>
    <s v="Lif"/>
    <m/>
  </r>
  <r>
    <x v="202"/>
    <s v="Water Bottle"/>
    <x v="0"/>
    <n v="1258"/>
    <x v="1"/>
    <s v="2023-12-16"/>
    <x v="3"/>
    <x v="3"/>
    <n v="3774"/>
    <n v="67"/>
    <s v="Delivered"/>
    <s v="High"/>
    <s v="Bulk Order"/>
    <s v="Lifestyle-Mumbai"/>
    <s v="Lif"/>
    <m/>
  </r>
  <r>
    <x v="203"/>
    <s v="Fitness Band"/>
    <x v="1"/>
    <n v="2417"/>
    <x v="1"/>
    <s v="2023-09-22"/>
    <x v="3"/>
    <x v="1"/>
    <n v="7251"/>
    <n v="78"/>
    <s v="Delivered"/>
    <s v="Low"/>
    <s v="Bulk Order"/>
    <s v="Fitness-Mumbai"/>
    <s v="Fit"/>
    <m/>
  </r>
  <r>
    <x v="204"/>
    <s v="Water Bottle"/>
    <x v="1"/>
    <n v="309"/>
    <x v="3"/>
    <s v="2023-03-24"/>
    <x v="3"/>
    <x v="1"/>
    <n v="309"/>
    <n v="99"/>
    <s v="Delivered"/>
    <s v="Low"/>
    <s v="Normal Order"/>
    <s v="Fitness-Mumbai"/>
    <s v="Fit"/>
    <m/>
  </r>
  <r>
    <x v="205"/>
    <s v="Water Bottle"/>
    <x v="4"/>
    <n v="4657"/>
    <x v="1"/>
    <s v="2023-03-01"/>
    <x v="2"/>
    <x v="3"/>
    <n v="13971"/>
    <n v="45"/>
    <s v="Delivered"/>
    <s v="High"/>
    <s v="Bulk Order"/>
    <s v="Electronics-Hyderabad"/>
    <s v="Ele"/>
    <m/>
  </r>
  <r>
    <x v="206"/>
    <s v="Smartphone Case"/>
    <x v="2"/>
    <n v="4214"/>
    <x v="3"/>
    <s v="2023-04-28"/>
    <x v="0"/>
    <x v="0"/>
    <n v="4214"/>
    <n v="37"/>
    <s v="Pending"/>
    <s v="Low"/>
    <s v="Normal Order"/>
    <s v="Home-Chennai"/>
    <s v="Hom"/>
    <m/>
  </r>
  <r>
    <x v="207"/>
    <s v="Desk Organizer"/>
    <x v="4"/>
    <n v="3298"/>
    <x v="2"/>
    <s v="2023-10-14"/>
    <x v="2"/>
    <x v="0"/>
    <n v="6596"/>
    <n v="86"/>
    <s v="Delivered"/>
    <s v="Medium"/>
    <s v="Normal Order"/>
    <s v="Electronics-Hyderabad"/>
    <s v="Ele"/>
    <m/>
  </r>
  <r>
    <x v="208"/>
    <s v="Laptop Stand"/>
    <x v="1"/>
    <n v="2846"/>
    <x v="2"/>
    <s v="2023-07-09"/>
    <x v="2"/>
    <x v="2"/>
    <n v="5692"/>
    <n v="89"/>
    <s v="Delivered"/>
    <s v="Low"/>
    <s v="Normal Order"/>
    <s v="Fitness-Hyderabad"/>
    <s v="Fit"/>
    <m/>
  </r>
  <r>
    <x v="209"/>
    <s v="Power Bank"/>
    <x v="1"/>
    <n v="1420"/>
    <x v="0"/>
    <s v="2023-08-26"/>
    <x v="1"/>
    <x v="1"/>
    <n v="5680"/>
    <n v="59"/>
    <s v="Pending"/>
    <s v="Medium"/>
    <s v="Bulk Order"/>
    <s v="Fitness-Kolkata"/>
    <s v="Fit"/>
    <m/>
  </r>
  <r>
    <x v="210"/>
    <s v="Backpack"/>
    <x v="3"/>
    <n v="381"/>
    <x v="0"/>
    <s v="2023-08-02"/>
    <x v="1"/>
    <x v="2"/>
    <n v="1524"/>
    <n v="90"/>
    <s v="Delivered"/>
    <s v="High"/>
    <s v="Bulk Order"/>
    <s v="Accessories-Kolkata"/>
    <s v="Acc"/>
    <m/>
  </r>
  <r>
    <x v="211"/>
    <s v="Wireless Earbuds"/>
    <x v="1"/>
    <n v="4766"/>
    <x v="0"/>
    <s v="2023-04-26"/>
    <x v="4"/>
    <x v="0"/>
    <n v="19064"/>
    <n v="52"/>
    <s v="Delivered"/>
    <s v="Medium"/>
    <s v="Bulk Order"/>
    <s v="Fitness-Delhi"/>
    <s v="Fit"/>
    <m/>
  </r>
  <r>
    <x v="212"/>
    <s v="Laptop Stand"/>
    <x v="3"/>
    <n v="3325"/>
    <x v="2"/>
    <s v="2023-08-03"/>
    <x v="5"/>
    <x v="3"/>
    <n v="6650"/>
    <n v="28"/>
    <s v="Delivered"/>
    <s v="Medium"/>
    <s v="Normal Order"/>
    <s v="Accessories-Bangalore"/>
    <s v="Acc"/>
    <m/>
  </r>
  <r>
    <x v="213"/>
    <s v="Power Bank"/>
    <x v="4"/>
    <n v="1199"/>
    <x v="2"/>
    <s v="2023-02-08"/>
    <x v="2"/>
    <x v="3"/>
    <n v="2398"/>
    <n v="89"/>
    <s v="Delivered"/>
    <s v="High"/>
    <s v="Normal Order"/>
    <s v="Electronics-Hyderabad"/>
    <s v="Ele"/>
    <m/>
  </r>
  <r>
    <x v="214"/>
    <s v="Laptop Stand"/>
    <x v="3"/>
    <n v="801"/>
    <x v="0"/>
    <s v="2023-01-23"/>
    <x v="5"/>
    <x v="3"/>
    <n v="3204"/>
    <n v="91"/>
    <s v="Delivered"/>
    <s v="Medium"/>
    <s v="Bulk Order"/>
    <s v="Accessories-Bangalore"/>
    <s v="Acc"/>
    <m/>
  </r>
  <r>
    <x v="215"/>
    <s v="Smartphone Case"/>
    <x v="1"/>
    <n v="4853"/>
    <x v="2"/>
    <s v="2023-01-21"/>
    <x v="3"/>
    <x v="1"/>
    <n v="9706"/>
    <n v="41"/>
    <s v="Delivered"/>
    <s v="Medium"/>
    <s v="Normal Order"/>
    <s v="Fitness-Mumbai"/>
    <s v="Fit"/>
    <m/>
  </r>
  <r>
    <x v="216"/>
    <s v="USB Cable"/>
    <x v="2"/>
    <n v="2044"/>
    <x v="3"/>
    <s v="2023-01-30"/>
    <x v="4"/>
    <x v="2"/>
    <n v="2044"/>
    <n v="50"/>
    <s v="Delivered"/>
    <s v="Medium"/>
    <s v="Normal Order"/>
    <s v="Home-Delhi"/>
    <s v="Hom"/>
    <m/>
  </r>
  <r>
    <x v="217"/>
    <s v="USB Cable"/>
    <x v="4"/>
    <n v="1303"/>
    <x v="1"/>
    <s v="2023-02-08"/>
    <x v="4"/>
    <x v="0"/>
    <n v="3909"/>
    <n v="37"/>
    <s v="Cancelled"/>
    <s v="Low"/>
    <s v="Bulk Order"/>
    <s v="Electronics-Delhi"/>
    <s v="Ele"/>
    <m/>
  </r>
  <r>
    <x v="218"/>
    <s v="Coffee Mug"/>
    <x v="1"/>
    <n v="1957"/>
    <x v="2"/>
    <s v="2023-11-10"/>
    <x v="1"/>
    <x v="0"/>
    <n v="3914"/>
    <n v="30"/>
    <s v="Pending"/>
    <s v="Medium"/>
    <s v="Normal Order"/>
    <s v="Fitness-Kolkata"/>
    <s v="Fit"/>
    <m/>
  </r>
  <r>
    <x v="219"/>
    <s v="Coffee Mug"/>
    <x v="4"/>
    <n v="4534"/>
    <x v="3"/>
    <s v="2023-05-29"/>
    <x v="2"/>
    <x v="2"/>
    <n v="4534"/>
    <n v="100"/>
    <s v="Pending"/>
    <s v="High"/>
    <s v="Normal Order"/>
    <s v="Electronics-Hyderabad"/>
    <s v="Ele"/>
    <m/>
  </r>
  <r>
    <x v="220"/>
    <s v="Power Bank"/>
    <x v="4"/>
    <n v="2502"/>
    <x v="3"/>
    <s v="2023-07-22"/>
    <x v="0"/>
    <x v="3"/>
    <n v="2502"/>
    <n v="34"/>
    <s v="Delivered"/>
    <s v="Low"/>
    <s v="Normal Order"/>
    <s v="Electronics-Chennai"/>
    <s v="Ele"/>
    <m/>
  </r>
  <r>
    <x v="221"/>
    <s v="Backpack"/>
    <x v="4"/>
    <n v="3523"/>
    <x v="2"/>
    <s v="2023-09-27"/>
    <x v="5"/>
    <x v="2"/>
    <n v="7046"/>
    <n v="66"/>
    <s v="Delivered"/>
    <s v="High"/>
    <s v="Normal Order"/>
    <s v="Electronics-Bangalore"/>
    <s v="Ele"/>
    <m/>
  </r>
  <r>
    <x v="222"/>
    <s v="Backpack"/>
    <x v="2"/>
    <n v="4825"/>
    <x v="2"/>
    <s v="2023-12-01"/>
    <x v="5"/>
    <x v="0"/>
    <n v="9650"/>
    <n v="52"/>
    <s v="Pending"/>
    <s v="Medium"/>
    <s v="Normal Order"/>
    <s v="Home-Bangalore"/>
    <s v="Hom"/>
    <m/>
  </r>
  <r>
    <x v="223"/>
    <s v="Smartphone Case"/>
    <x v="4"/>
    <n v="4176"/>
    <x v="0"/>
    <s v="2023-09-12"/>
    <x v="2"/>
    <x v="2"/>
    <n v="16704"/>
    <n v="100"/>
    <s v="Pending"/>
    <s v="Medium"/>
    <s v="Bulk Order"/>
    <s v="Electronics-Hyderabad"/>
    <s v="Ele"/>
    <m/>
  </r>
  <r>
    <x v="224"/>
    <s v="USB Cable"/>
    <x v="0"/>
    <n v="1400"/>
    <x v="0"/>
    <s v="2023-04-05"/>
    <x v="4"/>
    <x v="3"/>
    <n v="5600"/>
    <n v="24"/>
    <s v="Pending"/>
    <s v="Medium"/>
    <s v="Bulk Order"/>
    <s v="Lifestyle-Delhi"/>
    <s v="Lif"/>
    <m/>
  </r>
  <r>
    <x v="225"/>
    <s v="Fitness Band"/>
    <x v="3"/>
    <n v="4614"/>
    <x v="3"/>
    <s v="2023-12-08"/>
    <x v="4"/>
    <x v="2"/>
    <n v="4614"/>
    <n v="31"/>
    <s v="Delivered"/>
    <s v="Medium"/>
    <s v="Normal Order"/>
    <s v="Accessories-Delhi"/>
    <s v="Acc"/>
    <m/>
  </r>
  <r>
    <x v="226"/>
    <s v="LED Bulb"/>
    <x v="2"/>
    <n v="647"/>
    <x v="3"/>
    <s v="2023-09-15"/>
    <x v="0"/>
    <x v="1"/>
    <n v="647"/>
    <n v="69"/>
    <s v="Delivered"/>
    <s v="Low"/>
    <s v="Normal Order"/>
    <s v="Home-Chennai"/>
    <s v="Hom"/>
    <m/>
  </r>
  <r>
    <x v="227"/>
    <s v="USB Cable"/>
    <x v="0"/>
    <n v="2004"/>
    <x v="0"/>
    <s v="2023-11-16"/>
    <x v="1"/>
    <x v="1"/>
    <n v="8016"/>
    <n v="40"/>
    <s v="Delivered"/>
    <s v="Medium"/>
    <s v="Bulk Order"/>
    <s v="Lifestyle-Kolkata"/>
    <s v="Lif"/>
    <m/>
  </r>
  <r>
    <x v="228"/>
    <s v="LED Bulb"/>
    <x v="0"/>
    <n v="4045"/>
    <x v="2"/>
    <s v="2023-10-31"/>
    <x v="4"/>
    <x v="0"/>
    <n v="8090"/>
    <n v="43"/>
    <s v="Delivered"/>
    <s v="High"/>
    <s v="Normal Order"/>
    <s v="Lifestyle-Delhi"/>
    <s v="Lif"/>
    <m/>
  </r>
  <r>
    <x v="229"/>
    <s v="USB Cable"/>
    <x v="2"/>
    <n v="2092"/>
    <x v="1"/>
    <s v="2023-07-20"/>
    <x v="0"/>
    <x v="1"/>
    <n v="6276"/>
    <n v="91"/>
    <s v="Delivered"/>
    <s v="Low"/>
    <s v="Bulk Order"/>
    <s v="Home-Chennai"/>
    <s v="Hom"/>
    <m/>
  </r>
  <r>
    <x v="230"/>
    <s v="Coffee Mug"/>
    <x v="4"/>
    <n v="1703"/>
    <x v="1"/>
    <s v="2023-03-25"/>
    <x v="2"/>
    <x v="3"/>
    <n v="5109"/>
    <n v="47"/>
    <s v="Delivered"/>
    <s v="Medium"/>
    <s v="Bulk Order"/>
    <s v="Electronics-Hyderabad"/>
    <s v="Ele"/>
    <m/>
  </r>
  <r>
    <x v="231"/>
    <s v="Coffee Mug"/>
    <x v="1"/>
    <n v="2319"/>
    <x v="3"/>
    <s v="2023-07-13"/>
    <x v="4"/>
    <x v="3"/>
    <n v="2319"/>
    <n v="85"/>
    <s v="Delivered"/>
    <s v="Medium"/>
    <s v="Normal Order"/>
    <s v="Fitness-Delhi"/>
    <s v="Fit"/>
    <m/>
  </r>
  <r>
    <x v="232"/>
    <s v="Wireless Earbuds"/>
    <x v="3"/>
    <n v="4779"/>
    <x v="1"/>
    <s v="2023-05-25"/>
    <x v="3"/>
    <x v="2"/>
    <n v="14337"/>
    <n v="53"/>
    <s v="Delivered"/>
    <s v="Medium"/>
    <s v="Bulk Order"/>
    <s v="Accessories-Mumbai"/>
    <s v="Acc"/>
    <m/>
  </r>
  <r>
    <x v="233"/>
    <s v="Smartphone Case"/>
    <x v="0"/>
    <n v="4642"/>
    <x v="3"/>
    <s v="2023-04-14"/>
    <x v="2"/>
    <x v="3"/>
    <n v="4642"/>
    <n v="92"/>
    <s v="Cancelled"/>
    <s v="Low"/>
    <s v="Normal Order"/>
    <s v="Lifestyle-Hyderabad"/>
    <s v="Lif"/>
    <m/>
  </r>
  <r>
    <x v="234"/>
    <s v="Power Bank"/>
    <x v="2"/>
    <n v="2709"/>
    <x v="3"/>
    <s v="2023-10-14"/>
    <x v="4"/>
    <x v="1"/>
    <n v="2709"/>
    <n v="26"/>
    <s v="Cancelled"/>
    <s v="Low"/>
    <s v="Normal Order"/>
    <s v="Home-Delhi"/>
    <s v="Hom"/>
    <m/>
  </r>
  <r>
    <x v="235"/>
    <s v="Fitness Band"/>
    <x v="3"/>
    <n v="3119"/>
    <x v="1"/>
    <s v="2023-05-05"/>
    <x v="5"/>
    <x v="1"/>
    <n v="9357"/>
    <n v="89"/>
    <s v="Delivered"/>
    <s v="High"/>
    <s v="Bulk Order"/>
    <s v="Accessories-Bangalore"/>
    <s v="Acc"/>
    <m/>
  </r>
  <r>
    <x v="236"/>
    <s v="Wireless Earbuds"/>
    <x v="2"/>
    <n v="2203"/>
    <x v="2"/>
    <s v="2023-10-21"/>
    <x v="4"/>
    <x v="2"/>
    <n v="4406"/>
    <n v="59"/>
    <s v="Delivered"/>
    <s v="High"/>
    <s v="Normal Order"/>
    <s v="Home-Delhi"/>
    <s v="Hom"/>
    <m/>
  </r>
  <r>
    <x v="237"/>
    <s v="Smartphone Case"/>
    <x v="1"/>
    <n v="278"/>
    <x v="0"/>
    <s v="2023-03-06"/>
    <x v="5"/>
    <x v="0"/>
    <n v="1112"/>
    <n v="30"/>
    <s v="Delivered"/>
    <s v="Medium"/>
    <s v="Bulk Order"/>
    <s v="Fitness-Bangalore"/>
    <s v="Fit"/>
    <m/>
  </r>
  <r>
    <x v="238"/>
    <s v="Laptop Stand"/>
    <x v="0"/>
    <n v="702"/>
    <x v="0"/>
    <s v="2023-03-17"/>
    <x v="0"/>
    <x v="0"/>
    <n v="2808"/>
    <n v="61"/>
    <s v="Delivered"/>
    <s v="High"/>
    <s v="Bulk Order"/>
    <s v="Lifestyle-Chennai"/>
    <s v="Lif"/>
    <m/>
  </r>
  <r>
    <x v="239"/>
    <s v="Wireless Earbuds"/>
    <x v="1"/>
    <n v="738"/>
    <x v="0"/>
    <s v="2023-11-02"/>
    <x v="0"/>
    <x v="1"/>
    <n v="2952"/>
    <n v="31"/>
    <s v="Pending"/>
    <s v="Medium"/>
    <s v="Bulk Order"/>
    <s v="Fitness-Chennai"/>
    <s v="Fit"/>
    <m/>
  </r>
  <r>
    <x v="240"/>
    <s v="Power Bank"/>
    <x v="0"/>
    <n v="4270"/>
    <x v="3"/>
    <s v="2023-06-25"/>
    <x v="3"/>
    <x v="3"/>
    <n v="4270"/>
    <n v="50"/>
    <s v="Delivered"/>
    <s v="High"/>
    <s v="Normal Order"/>
    <s v="Lifestyle-Mumbai"/>
    <s v="Lif"/>
    <m/>
  </r>
  <r>
    <x v="241"/>
    <s v="Fitness Band"/>
    <x v="0"/>
    <n v="941"/>
    <x v="0"/>
    <s v="2023-02-17"/>
    <x v="5"/>
    <x v="1"/>
    <n v="3764"/>
    <n v="55"/>
    <s v="Delivered"/>
    <s v="Medium"/>
    <s v="Bulk Order"/>
    <s v="Lifestyle-Bangalore"/>
    <s v="Lif"/>
    <m/>
  </r>
  <r>
    <x v="242"/>
    <s v="USB Cable"/>
    <x v="0"/>
    <n v="3841"/>
    <x v="3"/>
    <s v="2023-05-10"/>
    <x v="2"/>
    <x v="1"/>
    <n v="3841"/>
    <n v="55"/>
    <s v="Delivered"/>
    <s v="Medium"/>
    <s v="Normal Order"/>
    <s v="Lifestyle-Hyderabad"/>
    <s v="Lif"/>
    <m/>
  </r>
  <r>
    <x v="243"/>
    <s v="Smartphone Case"/>
    <x v="3"/>
    <n v="3714"/>
    <x v="3"/>
    <s v="2023-08-11"/>
    <x v="2"/>
    <x v="3"/>
    <n v="3714"/>
    <n v="71"/>
    <s v="Pending"/>
    <s v="High"/>
    <s v="Normal Order"/>
    <s v="Accessories-Hyderabad"/>
    <s v="Acc"/>
    <m/>
  </r>
  <r>
    <x v="244"/>
    <s v="Backpack"/>
    <x v="1"/>
    <n v="2203"/>
    <x v="3"/>
    <s v="2023-06-07"/>
    <x v="0"/>
    <x v="0"/>
    <n v="2203"/>
    <n v="47"/>
    <s v="Cancelled"/>
    <s v="Medium"/>
    <s v="Normal Order"/>
    <s v="Fitness-Chennai"/>
    <s v="Fit"/>
    <m/>
  </r>
  <r>
    <x v="245"/>
    <s v="Fitness Band"/>
    <x v="1"/>
    <n v="2246"/>
    <x v="0"/>
    <s v="2023-09-06"/>
    <x v="3"/>
    <x v="1"/>
    <n v="8984"/>
    <n v="60"/>
    <s v="Delivered"/>
    <s v="High"/>
    <s v="Bulk Order"/>
    <s v="Fitness-Mumbai"/>
    <s v="Fit"/>
    <m/>
  </r>
  <r>
    <x v="246"/>
    <s v="Bluetooth Speaker"/>
    <x v="1"/>
    <n v="2538"/>
    <x v="1"/>
    <s v="2023-01-12"/>
    <x v="3"/>
    <x v="1"/>
    <n v="7614"/>
    <n v="96"/>
    <s v="Delivered"/>
    <s v="Medium"/>
    <s v="Bulk Order"/>
    <s v="Fitness-Mumbai"/>
    <s v="Fit"/>
    <m/>
  </r>
  <r>
    <x v="247"/>
    <s v="Smartphone Case"/>
    <x v="3"/>
    <n v="3087"/>
    <x v="0"/>
    <s v="2023-03-26"/>
    <x v="1"/>
    <x v="0"/>
    <n v="12348"/>
    <n v="29"/>
    <s v="Pending"/>
    <s v="High"/>
    <s v="Bulk Order"/>
    <s v="Accessories-Kolkata"/>
    <s v="Acc"/>
    <m/>
  </r>
  <r>
    <x v="248"/>
    <s v="Power Bank"/>
    <x v="1"/>
    <n v="2670"/>
    <x v="1"/>
    <s v="2023-10-14"/>
    <x v="4"/>
    <x v="0"/>
    <n v="8010"/>
    <n v="36"/>
    <s v="Pending"/>
    <s v="High"/>
    <s v="Bulk Order"/>
    <s v="Fitness-Delhi"/>
    <s v="Fit"/>
    <m/>
  </r>
  <r>
    <x v="249"/>
    <s v="Wireless Earbuds"/>
    <x v="3"/>
    <n v="688"/>
    <x v="1"/>
    <s v="2023-05-05"/>
    <x v="4"/>
    <x v="2"/>
    <n v="2064"/>
    <n v="40"/>
    <s v="Delivered"/>
    <s v="Medium"/>
    <s v="Bulk Order"/>
    <s v="Accessories-Delhi"/>
    <s v="Acc"/>
    <m/>
  </r>
  <r>
    <x v="250"/>
    <s v="Fitness Band"/>
    <x v="1"/>
    <n v="2594"/>
    <x v="1"/>
    <s v="2023-06-05"/>
    <x v="0"/>
    <x v="1"/>
    <n v="7782"/>
    <n v="97"/>
    <s v="Pending"/>
    <s v="Medium"/>
    <s v="Bulk Order"/>
    <s v="Fitness-Chennai"/>
    <s v="Fit"/>
    <m/>
  </r>
  <r>
    <x v="251"/>
    <s v="Wireless Earbuds"/>
    <x v="4"/>
    <n v="3880"/>
    <x v="2"/>
    <s v="2023-03-20"/>
    <x v="2"/>
    <x v="1"/>
    <n v="7760"/>
    <n v="85"/>
    <s v="Delivered"/>
    <s v="Medium"/>
    <s v="Normal Order"/>
    <s v="Electronics-Hyderabad"/>
    <s v="Ele"/>
    <m/>
  </r>
  <r>
    <x v="252"/>
    <s v="Water Bottle"/>
    <x v="4"/>
    <n v="4123"/>
    <x v="2"/>
    <s v="2023-07-22"/>
    <x v="2"/>
    <x v="1"/>
    <n v="8246"/>
    <n v="45"/>
    <s v="Delivered"/>
    <s v="Medium"/>
    <s v="Normal Order"/>
    <s v="Electronics-Hyderabad"/>
    <s v="Ele"/>
    <m/>
  </r>
  <r>
    <x v="253"/>
    <s v="Power Bank"/>
    <x v="1"/>
    <n v="4424"/>
    <x v="0"/>
    <s v="2023-01-06"/>
    <x v="0"/>
    <x v="2"/>
    <n v="17696"/>
    <n v="51"/>
    <s v="Delivered"/>
    <s v="Medium"/>
    <s v="Bulk Order"/>
    <s v="Fitness-Chennai"/>
    <s v="Fit"/>
    <m/>
  </r>
  <r>
    <x v="254"/>
    <s v="Smartphone Case"/>
    <x v="1"/>
    <n v="4769"/>
    <x v="2"/>
    <s v="2023-12-31"/>
    <x v="1"/>
    <x v="0"/>
    <n v="9538"/>
    <n v="78"/>
    <s v="Delivered"/>
    <s v="Medium"/>
    <s v="Normal Order"/>
    <s v="Fitness-Kolkata"/>
    <s v="Fit"/>
    <m/>
  </r>
  <r>
    <x v="255"/>
    <s v="Wireless Earbuds"/>
    <x v="2"/>
    <n v="3767"/>
    <x v="0"/>
    <s v="2023-01-26"/>
    <x v="2"/>
    <x v="0"/>
    <n v="15068"/>
    <n v="71"/>
    <s v="Delivered"/>
    <s v="Low"/>
    <s v="Bulk Order"/>
    <s v="Home-Hyderabad"/>
    <s v="Hom"/>
    <m/>
  </r>
  <r>
    <x v="256"/>
    <s v="USB Cable"/>
    <x v="1"/>
    <n v="888"/>
    <x v="2"/>
    <s v="2023-06-03"/>
    <x v="1"/>
    <x v="3"/>
    <n v="1776"/>
    <n v="51"/>
    <s v="Delivered"/>
    <s v="High"/>
    <s v="Normal Order"/>
    <s v="Fitness-Kolkata"/>
    <s v="Fit"/>
    <m/>
  </r>
  <r>
    <x v="257"/>
    <s v="Power Bank"/>
    <x v="1"/>
    <n v="2203"/>
    <x v="3"/>
    <s v="2023-05-23"/>
    <x v="2"/>
    <x v="3"/>
    <n v="2203"/>
    <n v="35"/>
    <s v="Cancelled"/>
    <s v="High"/>
    <s v="Normal Order"/>
    <s v="Fitness-Hyderabad"/>
    <s v="Fit"/>
    <m/>
  </r>
  <r>
    <x v="258"/>
    <s v="Laptop Stand"/>
    <x v="1"/>
    <n v="558"/>
    <x v="3"/>
    <s v="2023-07-25"/>
    <x v="3"/>
    <x v="3"/>
    <n v="558"/>
    <n v="50"/>
    <s v="Delivered"/>
    <s v="Medium"/>
    <s v="Normal Order"/>
    <s v="Fitness-Mumbai"/>
    <s v="Fit"/>
    <m/>
  </r>
  <r>
    <x v="259"/>
    <s v="Smartphone Case"/>
    <x v="4"/>
    <n v="173"/>
    <x v="0"/>
    <s v="2023-12-10"/>
    <x v="0"/>
    <x v="2"/>
    <n v="692"/>
    <n v="87"/>
    <s v="Delivered"/>
    <s v="Medium"/>
    <s v="Bulk Order"/>
    <s v="Electronics-Chennai"/>
    <s v="Ele"/>
    <m/>
  </r>
  <r>
    <x v="260"/>
    <s v="Coffee Mug"/>
    <x v="2"/>
    <n v="520"/>
    <x v="1"/>
    <s v="2023-08-14"/>
    <x v="5"/>
    <x v="0"/>
    <n v="1560"/>
    <n v="75"/>
    <s v="Pending"/>
    <s v="High"/>
    <s v="Bulk Order"/>
    <s v="Home-Bangalore"/>
    <s v="Hom"/>
    <m/>
  </r>
  <r>
    <x v="261"/>
    <s v="Wireless Earbuds"/>
    <x v="4"/>
    <n v="2867"/>
    <x v="0"/>
    <s v="2023-05-19"/>
    <x v="1"/>
    <x v="0"/>
    <n v="11468"/>
    <n v="32"/>
    <s v="Delivered"/>
    <s v="Medium"/>
    <s v="Bulk Order"/>
    <s v="Electronics-Kolkata"/>
    <s v="Ele"/>
    <m/>
  </r>
  <r>
    <x v="262"/>
    <s v="Laptop Stand"/>
    <x v="3"/>
    <n v="1279"/>
    <x v="1"/>
    <s v="2023-10-04"/>
    <x v="2"/>
    <x v="0"/>
    <n v="3837"/>
    <n v="100"/>
    <s v="Delivered"/>
    <s v="High"/>
    <s v="Bulk Order"/>
    <s v="Accessories-Hyderabad"/>
    <s v="Acc"/>
    <m/>
  </r>
  <r>
    <x v="263"/>
    <s v="Desk Organizer"/>
    <x v="4"/>
    <n v="1350"/>
    <x v="3"/>
    <s v="2023-08-31"/>
    <x v="2"/>
    <x v="0"/>
    <n v="1350"/>
    <n v="40"/>
    <s v="Delivered"/>
    <s v="Low"/>
    <s v="Normal Order"/>
    <s v="Electronics-Hyderabad"/>
    <s v="Ele"/>
    <m/>
  </r>
  <r>
    <x v="264"/>
    <s v="Water Bottle"/>
    <x v="3"/>
    <n v="4431"/>
    <x v="1"/>
    <s v="2023-03-10"/>
    <x v="1"/>
    <x v="0"/>
    <n v="13293"/>
    <n v="40"/>
    <s v="Delivered"/>
    <s v="Medium"/>
    <s v="Bulk Order"/>
    <s v="Accessories-Kolkata"/>
    <s v="Acc"/>
    <m/>
  </r>
  <r>
    <x v="265"/>
    <s v="Smartphone Case"/>
    <x v="4"/>
    <n v="2213"/>
    <x v="3"/>
    <s v="2023-03-11"/>
    <x v="2"/>
    <x v="2"/>
    <n v="2213"/>
    <n v="37"/>
    <s v="Delivered"/>
    <s v="Medium"/>
    <s v="Normal Order"/>
    <s v="Electronics-Hyderabad"/>
    <s v="Ele"/>
    <m/>
  </r>
  <r>
    <x v="266"/>
    <s v="Water Bottle"/>
    <x v="1"/>
    <n v="4398"/>
    <x v="2"/>
    <s v="2023-10-15"/>
    <x v="2"/>
    <x v="2"/>
    <n v="8796"/>
    <n v="79"/>
    <s v="Delivered"/>
    <s v="High"/>
    <s v="Normal Order"/>
    <s v="Fitness-Hyderabad"/>
    <s v="Fit"/>
    <m/>
  </r>
  <r>
    <x v="267"/>
    <s v="Fitness Band"/>
    <x v="4"/>
    <n v="2163"/>
    <x v="2"/>
    <s v="2023-10-27"/>
    <x v="0"/>
    <x v="3"/>
    <n v="4326"/>
    <n v="51"/>
    <s v="Delivered"/>
    <s v="High"/>
    <s v="Normal Order"/>
    <s v="Electronics-Chennai"/>
    <s v="Ele"/>
    <m/>
  </r>
  <r>
    <x v="268"/>
    <s v="Power Bank"/>
    <x v="0"/>
    <n v="476"/>
    <x v="2"/>
    <s v="2023-05-05"/>
    <x v="0"/>
    <x v="0"/>
    <n v="952"/>
    <n v="53"/>
    <s v="Pending"/>
    <s v="High"/>
    <s v="Normal Order"/>
    <s v="Lifestyle-Chennai"/>
    <s v="Lif"/>
    <m/>
  </r>
  <r>
    <x v="269"/>
    <s v="Backpack"/>
    <x v="2"/>
    <n v="379"/>
    <x v="3"/>
    <s v="2023-02-19"/>
    <x v="0"/>
    <x v="2"/>
    <n v="379"/>
    <n v="62"/>
    <s v="Delivered"/>
    <s v="High"/>
    <s v="Normal Order"/>
    <s v="Home-Chennai"/>
    <s v="Hom"/>
    <m/>
  </r>
  <r>
    <x v="270"/>
    <s v="Coffee Mug"/>
    <x v="1"/>
    <n v="4353"/>
    <x v="3"/>
    <s v="2023-03-29"/>
    <x v="0"/>
    <x v="2"/>
    <n v="4353"/>
    <n v="97"/>
    <s v="Delivered"/>
    <s v="High"/>
    <s v="Normal Order"/>
    <s v="Fitness-Chennai"/>
    <s v="Fit"/>
    <m/>
  </r>
  <r>
    <x v="271"/>
    <s v="Laptop Stand"/>
    <x v="4"/>
    <n v="2904"/>
    <x v="2"/>
    <s v="2023-01-16"/>
    <x v="4"/>
    <x v="1"/>
    <n v="5808"/>
    <n v="32"/>
    <s v="Pending"/>
    <s v="Medium"/>
    <s v="Normal Order"/>
    <s v="Electronics-Delhi"/>
    <s v="Ele"/>
    <m/>
  </r>
  <r>
    <x v="272"/>
    <s v="Smartphone Case"/>
    <x v="2"/>
    <n v="2567"/>
    <x v="0"/>
    <s v="2023-02-28"/>
    <x v="1"/>
    <x v="0"/>
    <n v="10268"/>
    <n v="40"/>
    <s v="Cancelled"/>
    <s v="Medium"/>
    <s v="Bulk Order"/>
    <s v="Home-Kolkata"/>
    <s v="Hom"/>
    <m/>
  </r>
  <r>
    <x v="273"/>
    <s v="Desk Organizer"/>
    <x v="2"/>
    <n v="1724"/>
    <x v="3"/>
    <s v="2023-03-06"/>
    <x v="0"/>
    <x v="3"/>
    <n v="1724"/>
    <n v="33"/>
    <s v="Delivered"/>
    <s v="Low"/>
    <s v="Normal Order"/>
    <s v="Home-Chennai"/>
    <s v="Hom"/>
    <m/>
  </r>
  <r>
    <x v="274"/>
    <s v="USB Cable"/>
    <x v="1"/>
    <n v="4510"/>
    <x v="3"/>
    <s v="2023-07-01"/>
    <x v="1"/>
    <x v="1"/>
    <n v="4510"/>
    <n v="50"/>
    <s v="Delivered"/>
    <s v="High"/>
    <s v="Normal Order"/>
    <s v="Fitness-Kolkata"/>
    <s v="Fit"/>
    <m/>
  </r>
  <r>
    <x v="275"/>
    <s v="Coffee Mug"/>
    <x v="1"/>
    <n v="1715"/>
    <x v="3"/>
    <s v="2023-04-04"/>
    <x v="3"/>
    <x v="0"/>
    <n v="1715"/>
    <n v="78"/>
    <s v="Delivered"/>
    <s v="Low"/>
    <s v="Normal Order"/>
    <s v="Fitness-Mumbai"/>
    <s v="Fit"/>
    <m/>
  </r>
  <r>
    <x v="276"/>
    <s v="Bluetooth Speaker"/>
    <x v="3"/>
    <n v="1444"/>
    <x v="0"/>
    <s v="2023-07-24"/>
    <x v="1"/>
    <x v="2"/>
    <n v="5776"/>
    <n v="51"/>
    <s v="Delivered"/>
    <s v="High"/>
    <s v="Bulk Order"/>
    <s v="Accessories-Kolkata"/>
    <s v="Acc"/>
    <m/>
  </r>
  <r>
    <x v="277"/>
    <s v="Desk Organizer"/>
    <x v="2"/>
    <n v="2914"/>
    <x v="3"/>
    <s v="2023-03-18"/>
    <x v="2"/>
    <x v="0"/>
    <n v="2914"/>
    <n v="40"/>
    <s v="Delivered"/>
    <s v="High"/>
    <s v="Normal Order"/>
    <s v="Home-Hyderabad"/>
    <s v="Hom"/>
    <m/>
  </r>
  <r>
    <x v="278"/>
    <s v="Water Bottle"/>
    <x v="1"/>
    <n v="4685"/>
    <x v="1"/>
    <s v="2023-06-18"/>
    <x v="3"/>
    <x v="1"/>
    <n v="14055"/>
    <n v="40"/>
    <s v="Delivered"/>
    <s v="Medium"/>
    <s v="Bulk Order"/>
    <s v="Fitness-Mumbai"/>
    <s v="Fit"/>
    <m/>
  </r>
  <r>
    <x v="279"/>
    <s v="USB Cable"/>
    <x v="2"/>
    <n v="1583"/>
    <x v="2"/>
    <s v="2023-08-26"/>
    <x v="4"/>
    <x v="0"/>
    <n v="3166"/>
    <n v="35"/>
    <s v="Delivered"/>
    <s v="Low"/>
    <s v="Normal Order"/>
    <s v="Home-Delhi"/>
    <s v="Hom"/>
    <m/>
  </r>
  <r>
    <x v="280"/>
    <s v="Laptop Stand"/>
    <x v="1"/>
    <n v="2372"/>
    <x v="2"/>
    <s v="2023-12-22"/>
    <x v="2"/>
    <x v="1"/>
    <n v="4744"/>
    <n v="69"/>
    <s v="Pending"/>
    <s v="Medium"/>
    <s v="Normal Order"/>
    <s v="Fitness-Hyderabad"/>
    <s v="Fit"/>
    <m/>
  </r>
  <r>
    <x v="281"/>
    <s v="Fitness Band"/>
    <x v="0"/>
    <n v="383"/>
    <x v="2"/>
    <s v="2023-08-05"/>
    <x v="0"/>
    <x v="3"/>
    <n v="766"/>
    <n v="56"/>
    <s v="Delivered"/>
    <s v="Medium"/>
    <s v="Normal Order"/>
    <s v="Lifestyle-Chennai"/>
    <s v="Lif"/>
    <m/>
  </r>
  <r>
    <x v="282"/>
    <s v="Backpack"/>
    <x v="2"/>
    <n v="3045"/>
    <x v="1"/>
    <s v="2023-04-18"/>
    <x v="3"/>
    <x v="1"/>
    <n v="9135"/>
    <n v="29"/>
    <s v="Pending"/>
    <s v="Medium"/>
    <s v="Bulk Order"/>
    <s v="Home-Mumbai"/>
    <s v="Hom"/>
    <m/>
  </r>
  <r>
    <x v="283"/>
    <s v="Bluetooth Speaker"/>
    <x v="3"/>
    <n v="2628"/>
    <x v="2"/>
    <s v="2023-03-07"/>
    <x v="3"/>
    <x v="0"/>
    <n v="5256"/>
    <n v="72"/>
    <s v="Pending"/>
    <s v="Medium"/>
    <s v="Normal Order"/>
    <s v="Accessories-Mumbai"/>
    <s v="Acc"/>
    <m/>
  </r>
  <r>
    <x v="284"/>
    <s v="Fitness Band"/>
    <x v="2"/>
    <n v="206"/>
    <x v="2"/>
    <s v="2023-09-07"/>
    <x v="4"/>
    <x v="1"/>
    <n v="412"/>
    <n v="21"/>
    <s v="Pending"/>
    <s v="Medium"/>
    <s v="Normal Order"/>
    <s v="Home-Delhi"/>
    <s v="Hom"/>
    <m/>
  </r>
  <r>
    <x v="285"/>
    <s v="Power Bank"/>
    <x v="0"/>
    <n v="2170"/>
    <x v="2"/>
    <s v="2023-07-17"/>
    <x v="5"/>
    <x v="1"/>
    <n v="4340"/>
    <n v="55"/>
    <s v="Delivered"/>
    <s v="High"/>
    <s v="Normal Order"/>
    <s v="Lifestyle-Bangalore"/>
    <s v="Lif"/>
    <m/>
  </r>
  <r>
    <x v="286"/>
    <s v="Power Bank"/>
    <x v="2"/>
    <n v="1808"/>
    <x v="2"/>
    <s v="2023-03-31"/>
    <x v="2"/>
    <x v="0"/>
    <n v="3616"/>
    <n v="80"/>
    <s v="Cancelled"/>
    <s v="Medium"/>
    <s v="Normal Order"/>
    <s v="Home-Hyderabad"/>
    <s v="Hom"/>
    <m/>
  </r>
  <r>
    <x v="287"/>
    <s v="Power Bank"/>
    <x v="1"/>
    <n v="4194"/>
    <x v="3"/>
    <s v="2023-04-22"/>
    <x v="3"/>
    <x v="1"/>
    <n v="4194"/>
    <n v="35"/>
    <s v="Pending"/>
    <s v="High"/>
    <s v="Normal Order"/>
    <s v="Fitness-Mumbai"/>
    <s v="Fit"/>
    <m/>
  </r>
  <r>
    <x v="288"/>
    <s v="Laptop Stand"/>
    <x v="1"/>
    <n v="4096"/>
    <x v="2"/>
    <s v="2023-09-27"/>
    <x v="2"/>
    <x v="3"/>
    <n v="8192"/>
    <n v="69"/>
    <s v="Delivered"/>
    <s v="High"/>
    <s v="Normal Order"/>
    <s v="Fitness-Hyderabad"/>
    <s v="Fit"/>
    <m/>
  </r>
  <r>
    <x v="289"/>
    <s v="Water Bottle"/>
    <x v="4"/>
    <n v="941"/>
    <x v="3"/>
    <s v="2023-02-25"/>
    <x v="4"/>
    <x v="0"/>
    <n v="941"/>
    <n v="65"/>
    <s v="Delivered"/>
    <s v="High"/>
    <s v="Normal Order"/>
    <s v="Electronics-Delhi"/>
    <s v="Ele"/>
    <m/>
  </r>
  <r>
    <x v="290"/>
    <s v="Desk Organizer"/>
    <x v="3"/>
    <n v="4100"/>
    <x v="1"/>
    <s v="2023-06-21"/>
    <x v="3"/>
    <x v="1"/>
    <n v="12300"/>
    <n v="60"/>
    <s v="Delivered"/>
    <s v="Medium"/>
    <s v="Bulk Order"/>
    <s v="Accessories-Mumbai"/>
    <s v="Acc"/>
    <m/>
  </r>
  <r>
    <x v="291"/>
    <s v="LED Bulb"/>
    <x v="2"/>
    <n v="3665"/>
    <x v="2"/>
    <s v="2023-01-23"/>
    <x v="1"/>
    <x v="3"/>
    <n v="7330"/>
    <n v="23"/>
    <s v="Pending"/>
    <s v="Medium"/>
    <s v="Normal Order"/>
    <s v="Home-Kolkata"/>
    <s v="Hom"/>
    <m/>
  </r>
  <r>
    <x v="292"/>
    <s v="Desk Organizer"/>
    <x v="3"/>
    <n v="3715"/>
    <x v="2"/>
    <s v="2023-04-19"/>
    <x v="5"/>
    <x v="0"/>
    <n v="7430"/>
    <n v="24"/>
    <s v="Delivered"/>
    <s v="High"/>
    <s v="Normal Order"/>
    <s v="Accessories-Bangalore"/>
    <s v="Acc"/>
    <m/>
  </r>
  <r>
    <x v="293"/>
    <s v="USB Cable"/>
    <x v="1"/>
    <n v="4364"/>
    <x v="0"/>
    <s v="2023-07-07"/>
    <x v="2"/>
    <x v="1"/>
    <n v="17456"/>
    <n v="81"/>
    <s v="Delivered"/>
    <s v="High"/>
    <s v="Bulk Order"/>
    <s v="Fitness-Hyderabad"/>
    <s v="Fit"/>
    <m/>
  </r>
  <r>
    <x v="294"/>
    <s v="LED Bulb"/>
    <x v="0"/>
    <n v="523"/>
    <x v="3"/>
    <s v="2023-04-13"/>
    <x v="0"/>
    <x v="3"/>
    <n v="523"/>
    <n v="77"/>
    <s v="Pending"/>
    <s v="High"/>
    <s v="Normal Order"/>
    <s v="Lifestyle-Chennai"/>
    <s v="Lif"/>
    <m/>
  </r>
  <r>
    <x v="295"/>
    <s v="Water Bottle"/>
    <x v="1"/>
    <n v="2672"/>
    <x v="0"/>
    <s v="2023-02-14"/>
    <x v="1"/>
    <x v="3"/>
    <n v="10688"/>
    <n v="84"/>
    <s v="Delivered"/>
    <s v="Medium"/>
    <s v="Bulk Order"/>
    <s v="Fitness-Kolkata"/>
    <s v="Fit"/>
    <m/>
  </r>
  <r>
    <x v="296"/>
    <s v="USB Cable"/>
    <x v="4"/>
    <n v="2410"/>
    <x v="1"/>
    <s v="2023-06-27"/>
    <x v="5"/>
    <x v="2"/>
    <n v="7230"/>
    <n v="98"/>
    <s v="Delivered"/>
    <s v="High"/>
    <s v="Bulk Order"/>
    <s v="Electronics-Bangalore"/>
    <s v="Ele"/>
    <m/>
  </r>
  <r>
    <x v="297"/>
    <s v="Laptop Stand"/>
    <x v="3"/>
    <n v="2484"/>
    <x v="2"/>
    <s v="2023-06-15"/>
    <x v="4"/>
    <x v="2"/>
    <n v="4968"/>
    <n v="58"/>
    <s v="Pending"/>
    <s v="High"/>
    <s v="Normal Order"/>
    <s v="Accessories-Delhi"/>
    <s v="Acc"/>
    <m/>
  </r>
  <r>
    <x v="298"/>
    <s v="Bluetooth Speaker"/>
    <x v="1"/>
    <n v="3371"/>
    <x v="1"/>
    <s v="2023-07-11"/>
    <x v="1"/>
    <x v="0"/>
    <n v="10113"/>
    <n v="91"/>
    <s v="Cancelled"/>
    <s v="Medium"/>
    <s v="Bulk Order"/>
    <s v="Fitness-Kolkata"/>
    <s v="Fit"/>
    <m/>
  </r>
  <r>
    <x v="299"/>
    <s v="Smartphone Case"/>
    <x v="4"/>
    <n v="1098"/>
    <x v="2"/>
    <s v="2023-03-03"/>
    <x v="0"/>
    <x v="1"/>
    <n v="2196"/>
    <n v="75"/>
    <s v="Delivered"/>
    <s v="Medium"/>
    <s v="Normal Order"/>
    <s v="Electronics-Chennai"/>
    <s v="Ele"/>
    <m/>
  </r>
  <r>
    <x v="300"/>
    <s v="Coffee Mug"/>
    <x v="0"/>
    <n v="1419"/>
    <x v="3"/>
    <s v="2023-11-02"/>
    <x v="1"/>
    <x v="3"/>
    <n v="1419"/>
    <n v="44"/>
    <s v="Delivered"/>
    <s v="Medium"/>
    <s v="Normal Order"/>
    <s v="Lifestyle-Kolkata"/>
    <s v="Lif"/>
    <m/>
  </r>
  <r>
    <x v="301"/>
    <s v="Smartphone Case"/>
    <x v="2"/>
    <n v="1795"/>
    <x v="0"/>
    <s v="2023-07-15"/>
    <x v="0"/>
    <x v="2"/>
    <n v="7180"/>
    <n v="24"/>
    <s v="Delivered"/>
    <s v="Medium"/>
    <s v="Bulk Order"/>
    <s v="Home-Chennai"/>
    <s v="Hom"/>
    <m/>
  </r>
  <r>
    <x v="302"/>
    <s v="Backpack"/>
    <x v="4"/>
    <n v="4346"/>
    <x v="3"/>
    <s v="2023-06-03"/>
    <x v="1"/>
    <x v="0"/>
    <n v="4346"/>
    <n v="50"/>
    <s v="Pending"/>
    <s v="Medium"/>
    <s v="Normal Order"/>
    <s v="Electronics-Kolkata"/>
    <s v="Ele"/>
    <m/>
  </r>
  <r>
    <x v="303"/>
    <s v="USB Cable"/>
    <x v="4"/>
    <n v="3380"/>
    <x v="3"/>
    <s v="2023-07-22"/>
    <x v="4"/>
    <x v="1"/>
    <n v="3380"/>
    <n v="64"/>
    <s v="Delivered"/>
    <s v="Medium"/>
    <s v="Normal Order"/>
    <s v="Electronics-Delhi"/>
    <s v="Ele"/>
    <m/>
  </r>
  <r>
    <x v="304"/>
    <s v="Bluetooth Speaker"/>
    <x v="2"/>
    <n v="301"/>
    <x v="3"/>
    <s v="2023-03-13"/>
    <x v="5"/>
    <x v="2"/>
    <n v="301"/>
    <n v="28"/>
    <s v="Delivered"/>
    <s v="Low"/>
    <s v="Normal Order"/>
    <s v="Home-Bangalore"/>
    <s v="Hom"/>
    <m/>
  </r>
  <r>
    <x v="305"/>
    <s v="Smartphone Case"/>
    <x v="2"/>
    <n v="929"/>
    <x v="3"/>
    <s v="2023-03-28"/>
    <x v="4"/>
    <x v="3"/>
    <n v="929"/>
    <n v="83"/>
    <s v="Delivered"/>
    <s v="High"/>
    <s v="Normal Order"/>
    <s v="Home-Delhi"/>
    <s v="Hom"/>
    <m/>
  </r>
  <r>
    <x v="306"/>
    <s v="USB Cable"/>
    <x v="1"/>
    <n v="2539"/>
    <x v="3"/>
    <s v="2023-11-24"/>
    <x v="4"/>
    <x v="2"/>
    <n v="2539"/>
    <n v="24"/>
    <s v="Delivered"/>
    <s v="Low"/>
    <s v="Normal Order"/>
    <s v="Fitness-Delhi"/>
    <s v="Fit"/>
    <m/>
  </r>
  <r>
    <x v="307"/>
    <s v="Fitness Band"/>
    <x v="3"/>
    <n v="1401"/>
    <x v="3"/>
    <s v="2023-05-08"/>
    <x v="4"/>
    <x v="3"/>
    <n v="1401"/>
    <n v="22"/>
    <s v="Delivered"/>
    <s v="Medium"/>
    <s v="Normal Order"/>
    <s v="Accessories-Delhi"/>
    <s v="Acc"/>
    <m/>
  </r>
  <r>
    <x v="308"/>
    <s v="Coffee Mug"/>
    <x v="1"/>
    <n v="3710"/>
    <x v="0"/>
    <s v="2023-02-24"/>
    <x v="5"/>
    <x v="1"/>
    <n v="14840"/>
    <n v="31"/>
    <s v="Pending"/>
    <s v="High"/>
    <s v="Bulk Order"/>
    <s v="Fitness-Bangalore"/>
    <s v="Fit"/>
    <m/>
  </r>
  <r>
    <x v="309"/>
    <s v="Coffee Mug"/>
    <x v="3"/>
    <n v="3394"/>
    <x v="0"/>
    <s v="2023-03-06"/>
    <x v="4"/>
    <x v="2"/>
    <n v="13576"/>
    <n v="34"/>
    <s v="Delivered"/>
    <s v="Medium"/>
    <s v="Bulk Order"/>
    <s v="Accessories-Delhi"/>
    <s v="Acc"/>
    <m/>
  </r>
  <r>
    <x v="310"/>
    <s v="Desk Organizer"/>
    <x v="4"/>
    <n v="1385"/>
    <x v="1"/>
    <s v="2023-05-11"/>
    <x v="5"/>
    <x v="0"/>
    <n v="4155"/>
    <n v="47"/>
    <s v="Cancelled"/>
    <s v="Medium"/>
    <s v="Bulk Order"/>
    <s v="Electronics-Bangalore"/>
    <s v="Ele"/>
    <m/>
  </r>
  <r>
    <x v="311"/>
    <s v="Fitness Band"/>
    <x v="4"/>
    <n v="700"/>
    <x v="2"/>
    <s v="2023-07-21"/>
    <x v="3"/>
    <x v="1"/>
    <n v="1400"/>
    <n v="95"/>
    <s v="Delivered"/>
    <s v="High"/>
    <s v="Normal Order"/>
    <s v="Electronics-Mumbai"/>
    <s v="Ele"/>
    <m/>
  </r>
  <r>
    <x v="312"/>
    <s v="Wireless Earbuds"/>
    <x v="2"/>
    <n v="2318"/>
    <x v="3"/>
    <s v="2023-05-19"/>
    <x v="4"/>
    <x v="0"/>
    <n v="2318"/>
    <n v="52"/>
    <s v="Delivered"/>
    <s v="Medium"/>
    <s v="Normal Order"/>
    <s v="Home-Delhi"/>
    <s v="Hom"/>
    <m/>
  </r>
  <r>
    <x v="313"/>
    <s v="USB Cable"/>
    <x v="1"/>
    <n v="2480"/>
    <x v="0"/>
    <s v="2023-03-13"/>
    <x v="5"/>
    <x v="0"/>
    <n v="9920"/>
    <n v="95"/>
    <s v="Delivered"/>
    <s v="High"/>
    <s v="Bulk Order"/>
    <s v="Fitness-Bangalore"/>
    <s v="Fit"/>
    <m/>
  </r>
  <r>
    <x v="314"/>
    <s v="LED Bulb"/>
    <x v="4"/>
    <n v="1742"/>
    <x v="2"/>
    <s v="2023-05-27"/>
    <x v="5"/>
    <x v="1"/>
    <n v="3484"/>
    <n v="36"/>
    <s v="Delivered"/>
    <s v="Medium"/>
    <s v="Normal Order"/>
    <s v="Electronics-Bangalore"/>
    <s v="Ele"/>
    <m/>
  </r>
  <r>
    <x v="315"/>
    <s v="Power Bank"/>
    <x v="2"/>
    <n v="2712"/>
    <x v="1"/>
    <s v="2023-09-14"/>
    <x v="2"/>
    <x v="3"/>
    <n v="8136"/>
    <n v="73"/>
    <s v="Pending"/>
    <s v="High"/>
    <s v="Bulk Order"/>
    <s v="Home-Hyderabad"/>
    <s v="Hom"/>
    <m/>
  </r>
  <r>
    <x v="316"/>
    <s v="Coffee Mug"/>
    <x v="3"/>
    <n v="1587"/>
    <x v="3"/>
    <s v="2023-09-23"/>
    <x v="2"/>
    <x v="2"/>
    <n v="1587"/>
    <n v="92"/>
    <s v="Delivered"/>
    <s v="Low"/>
    <s v="Normal Order"/>
    <s v="Accessories-Hyderabad"/>
    <s v="Acc"/>
    <m/>
  </r>
  <r>
    <x v="317"/>
    <s v="Desk Organizer"/>
    <x v="2"/>
    <n v="2180"/>
    <x v="1"/>
    <s v="2023-12-07"/>
    <x v="5"/>
    <x v="1"/>
    <n v="6540"/>
    <n v="65"/>
    <s v="Delivered"/>
    <s v="High"/>
    <s v="Bulk Order"/>
    <s v="Home-Bangalore"/>
    <s v="Hom"/>
    <m/>
  </r>
  <r>
    <x v="318"/>
    <s v="USB Cable"/>
    <x v="2"/>
    <n v="2939"/>
    <x v="2"/>
    <s v="2023-08-05"/>
    <x v="2"/>
    <x v="2"/>
    <n v="5878"/>
    <n v="47"/>
    <s v="Delivered"/>
    <s v="Medium"/>
    <s v="Normal Order"/>
    <s v="Home-Hyderabad"/>
    <s v="Hom"/>
    <m/>
  </r>
  <r>
    <x v="319"/>
    <s v="Bluetooth Speaker"/>
    <x v="1"/>
    <n v="2504"/>
    <x v="2"/>
    <s v="2023-07-16"/>
    <x v="5"/>
    <x v="2"/>
    <n v="5008"/>
    <n v="58"/>
    <s v="Delivered"/>
    <s v="Medium"/>
    <s v="Normal Order"/>
    <s v="Fitness-Bangalore"/>
    <s v="Fit"/>
    <m/>
  </r>
  <r>
    <x v="320"/>
    <s v="Fitness Band"/>
    <x v="0"/>
    <n v="1161"/>
    <x v="1"/>
    <s v="2023-08-18"/>
    <x v="2"/>
    <x v="0"/>
    <n v="3483"/>
    <n v="60"/>
    <s v="Delivered"/>
    <s v="Medium"/>
    <s v="Bulk Order"/>
    <s v="Lifestyle-Hyderabad"/>
    <s v="Lif"/>
    <m/>
  </r>
  <r>
    <x v="321"/>
    <s v="USB Cable"/>
    <x v="2"/>
    <n v="3003"/>
    <x v="1"/>
    <s v="2023-01-21"/>
    <x v="3"/>
    <x v="0"/>
    <n v="9009"/>
    <n v="54"/>
    <s v="Delivered"/>
    <s v="Medium"/>
    <s v="Bulk Order"/>
    <s v="Home-Mumbai"/>
    <s v="Hom"/>
    <m/>
  </r>
  <r>
    <x v="322"/>
    <s v="Smartphone Case"/>
    <x v="1"/>
    <n v="4337"/>
    <x v="3"/>
    <s v="2023-07-19"/>
    <x v="4"/>
    <x v="0"/>
    <n v="4337"/>
    <n v="96"/>
    <s v="Delivered"/>
    <s v="Medium"/>
    <s v="Normal Order"/>
    <s v="Fitness-Delhi"/>
    <s v="Fit"/>
    <m/>
  </r>
  <r>
    <x v="323"/>
    <s v="Coffee Mug"/>
    <x v="0"/>
    <n v="1102"/>
    <x v="0"/>
    <s v="2023-01-20"/>
    <x v="4"/>
    <x v="3"/>
    <n v="4408"/>
    <n v="59"/>
    <s v="Cancelled"/>
    <s v="Low"/>
    <s v="Bulk Order"/>
    <s v="Lifestyle-Delhi"/>
    <s v="Lif"/>
    <m/>
  </r>
  <r>
    <x v="324"/>
    <s v="USB Cable"/>
    <x v="1"/>
    <n v="1272"/>
    <x v="1"/>
    <s v="2023-07-25"/>
    <x v="3"/>
    <x v="0"/>
    <n v="3816"/>
    <n v="90"/>
    <s v="Delivered"/>
    <s v="Medium"/>
    <s v="Bulk Order"/>
    <s v="Fitness-Mumbai"/>
    <s v="Fit"/>
    <m/>
  </r>
  <r>
    <x v="325"/>
    <s v="Power Bank"/>
    <x v="1"/>
    <n v="4467"/>
    <x v="1"/>
    <s v="2023-07-06"/>
    <x v="4"/>
    <x v="0"/>
    <n v="13401"/>
    <n v="99"/>
    <s v="Cancelled"/>
    <s v="Low"/>
    <s v="Bulk Order"/>
    <s v="Fitness-Delhi"/>
    <s v="Fit"/>
    <m/>
  </r>
  <r>
    <x v="326"/>
    <s v="LED Bulb"/>
    <x v="1"/>
    <n v="3473"/>
    <x v="0"/>
    <s v="2023-08-31"/>
    <x v="5"/>
    <x v="1"/>
    <n v="13892"/>
    <n v="66"/>
    <s v="Delivered"/>
    <s v="High"/>
    <s v="Bulk Order"/>
    <s v="Fitness-Bangalore"/>
    <s v="Fit"/>
    <m/>
  </r>
  <r>
    <x v="327"/>
    <s v="Coffee Mug"/>
    <x v="3"/>
    <n v="722"/>
    <x v="2"/>
    <s v="2023-10-28"/>
    <x v="5"/>
    <x v="3"/>
    <n v="1444"/>
    <n v="98"/>
    <s v="Pending"/>
    <s v="Medium"/>
    <s v="Normal Order"/>
    <s v="Accessories-Bangalore"/>
    <s v="Acc"/>
    <m/>
  </r>
  <r>
    <x v="328"/>
    <s v="Bluetooth Speaker"/>
    <x v="3"/>
    <n v="2504"/>
    <x v="0"/>
    <s v="2023-02-23"/>
    <x v="2"/>
    <x v="0"/>
    <n v="10016"/>
    <n v="65"/>
    <s v="Pending"/>
    <s v="Medium"/>
    <s v="Bulk Order"/>
    <s v="Accessories-Hyderabad"/>
    <s v="Acc"/>
    <m/>
  </r>
  <r>
    <x v="329"/>
    <s v="Desk Organizer"/>
    <x v="1"/>
    <n v="1076"/>
    <x v="3"/>
    <s v="2023-12-03"/>
    <x v="0"/>
    <x v="1"/>
    <n v="1076"/>
    <n v="25"/>
    <s v="Delivered"/>
    <s v="Medium"/>
    <s v="Normal Order"/>
    <s v="Fitness-Chennai"/>
    <s v="Fit"/>
    <m/>
  </r>
  <r>
    <x v="330"/>
    <s v="Backpack"/>
    <x v="2"/>
    <n v="2519"/>
    <x v="1"/>
    <s v="2023-05-19"/>
    <x v="2"/>
    <x v="1"/>
    <n v="7557"/>
    <n v="28"/>
    <s v="Delivered"/>
    <s v="Medium"/>
    <s v="Bulk Order"/>
    <s v="Home-Hyderabad"/>
    <s v="Hom"/>
    <m/>
  </r>
  <r>
    <x v="331"/>
    <s v="Wireless Earbuds"/>
    <x v="1"/>
    <n v="1982"/>
    <x v="1"/>
    <s v="2023-05-13"/>
    <x v="0"/>
    <x v="0"/>
    <n v="5946"/>
    <n v="67"/>
    <s v="Delivered"/>
    <s v="Medium"/>
    <s v="Bulk Order"/>
    <s v="Fitness-Chennai"/>
    <s v="Fit"/>
    <m/>
  </r>
  <r>
    <x v="332"/>
    <s v="USB Cable"/>
    <x v="1"/>
    <n v="1373"/>
    <x v="1"/>
    <s v="2023-09-21"/>
    <x v="2"/>
    <x v="3"/>
    <n v="4119"/>
    <n v="20"/>
    <s v="Delivered"/>
    <s v="High"/>
    <s v="Bulk Order"/>
    <s v="Fitness-Hyderabad"/>
    <s v="Fit"/>
    <m/>
  </r>
  <r>
    <x v="333"/>
    <s v="Laptop Stand"/>
    <x v="4"/>
    <n v="917"/>
    <x v="2"/>
    <s v="2023-08-14"/>
    <x v="0"/>
    <x v="0"/>
    <n v="1834"/>
    <n v="92"/>
    <s v="Delivered"/>
    <s v="Medium"/>
    <s v="Normal Order"/>
    <s v="Electronics-Chennai"/>
    <s v="Ele"/>
    <m/>
  </r>
  <r>
    <x v="334"/>
    <s v="Fitness Band"/>
    <x v="0"/>
    <n v="2517"/>
    <x v="0"/>
    <s v="2023-02-13"/>
    <x v="5"/>
    <x v="1"/>
    <n v="10068"/>
    <n v="91"/>
    <s v="Pending"/>
    <s v="Medium"/>
    <s v="Bulk Order"/>
    <s v="Lifestyle-Bangalore"/>
    <s v="Lif"/>
    <m/>
  </r>
  <r>
    <x v="335"/>
    <s v="Bluetooth Speaker"/>
    <x v="4"/>
    <n v="3447"/>
    <x v="0"/>
    <s v="2023-02-06"/>
    <x v="4"/>
    <x v="3"/>
    <n v="13788"/>
    <n v="91"/>
    <s v="Cancelled"/>
    <s v="Medium"/>
    <s v="Bulk Order"/>
    <s v="Electronics-Delhi"/>
    <s v="Ele"/>
    <m/>
  </r>
  <r>
    <x v="336"/>
    <s v="LED Bulb"/>
    <x v="1"/>
    <n v="1669"/>
    <x v="0"/>
    <s v="2023-10-11"/>
    <x v="3"/>
    <x v="0"/>
    <n v="6676"/>
    <n v="78"/>
    <s v="Delivered"/>
    <s v="High"/>
    <s v="Bulk Order"/>
    <s v="Fitness-Mumbai"/>
    <s v="Fit"/>
    <m/>
  </r>
  <r>
    <x v="337"/>
    <s v="LED Bulb"/>
    <x v="3"/>
    <n v="3349"/>
    <x v="1"/>
    <s v="2023-05-07"/>
    <x v="0"/>
    <x v="0"/>
    <n v="10047"/>
    <n v="30"/>
    <s v="Delivered"/>
    <s v="Medium"/>
    <s v="Bulk Order"/>
    <s v="Accessories-Chennai"/>
    <s v="Acc"/>
    <m/>
  </r>
  <r>
    <x v="338"/>
    <s v="Laptop Stand"/>
    <x v="3"/>
    <n v="2954"/>
    <x v="0"/>
    <s v="2023-10-22"/>
    <x v="2"/>
    <x v="1"/>
    <n v="11816"/>
    <n v="92"/>
    <s v="Delivered"/>
    <s v="High"/>
    <s v="Bulk Order"/>
    <s v="Accessories-Hyderabad"/>
    <s v="Acc"/>
    <m/>
  </r>
  <r>
    <x v="339"/>
    <s v="Power Bank"/>
    <x v="0"/>
    <n v="3736"/>
    <x v="3"/>
    <s v="2023-03-24"/>
    <x v="4"/>
    <x v="1"/>
    <n v="3736"/>
    <n v="71"/>
    <s v="Cancelled"/>
    <s v="Medium"/>
    <s v="Normal Order"/>
    <s v="Lifestyle-Delhi"/>
    <s v="Lif"/>
    <m/>
  </r>
  <r>
    <x v="340"/>
    <s v="LED Bulb"/>
    <x v="3"/>
    <n v="3169"/>
    <x v="3"/>
    <s v="2023-02-18"/>
    <x v="3"/>
    <x v="2"/>
    <n v="3169"/>
    <n v="31"/>
    <s v="Delivered"/>
    <s v="Medium"/>
    <s v="Normal Order"/>
    <s v="Accessories-Mumbai"/>
    <s v="Acc"/>
    <m/>
  </r>
  <r>
    <x v="341"/>
    <s v="Water Bottle"/>
    <x v="4"/>
    <n v="4079"/>
    <x v="2"/>
    <s v="2023-11-16"/>
    <x v="1"/>
    <x v="1"/>
    <n v="8158"/>
    <n v="30"/>
    <s v="Cancelled"/>
    <s v="Low"/>
    <s v="Normal Order"/>
    <s v="Electronics-Kolkata"/>
    <s v="Ele"/>
    <m/>
  </r>
  <r>
    <x v="342"/>
    <s v="Coffee Mug"/>
    <x v="3"/>
    <n v="2869"/>
    <x v="2"/>
    <s v="2023-11-28"/>
    <x v="5"/>
    <x v="2"/>
    <n v="5738"/>
    <n v="48"/>
    <s v="Pending"/>
    <s v="Medium"/>
    <s v="Normal Order"/>
    <s v="Accessories-Bangalore"/>
    <s v="Acc"/>
    <m/>
  </r>
  <r>
    <x v="343"/>
    <s v="Bluetooth Speaker"/>
    <x v="4"/>
    <n v="3300"/>
    <x v="1"/>
    <s v="2023-11-17"/>
    <x v="0"/>
    <x v="0"/>
    <n v="9900"/>
    <n v="91"/>
    <s v="Delivered"/>
    <s v="Medium"/>
    <s v="Bulk Order"/>
    <s v="Electronics-Chennai"/>
    <s v="Ele"/>
    <m/>
  </r>
  <r>
    <x v="344"/>
    <s v="Smartphone Case"/>
    <x v="0"/>
    <n v="2659"/>
    <x v="3"/>
    <s v="2023-09-10"/>
    <x v="4"/>
    <x v="2"/>
    <n v="2659"/>
    <n v="61"/>
    <s v="Delivered"/>
    <s v="High"/>
    <s v="Normal Order"/>
    <s v="Lifestyle-Delhi"/>
    <s v="Lif"/>
    <m/>
  </r>
  <r>
    <x v="345"/>
    <s v="Bluetooth Speaker"/>
    <x v="4"/>
    <n v="3930"/>
    <x v="1"/>
    <s v="2023-02-20"/>
    <x v="3"/>
    <x v="3"/>
    <n v="11790"/>
    <n v="52"/>
    <s v="Delivered"/>
    <s v="Low"/>
    <s v="Bulk Order"/>
    <s v="Electronics-Mumbai"/>
    <s v="Ele"/>
    <m/>
  </r>
  <r>
    <x v="346"/>
    <s v="Backpack"/>
    <x v="3"/>
    <n v="4840"/>
    <x v="3"/>
    <s v="2023-06-25"/>
    <x v="5"/>
    <x v="2"/>
    <n v="4840"/>
    <n v="59"/>
    <s v="Delivered"/>
    <s v="Low"/>
    <s v="Normal Order"/>
    <s v="Accessories-Bangalore"/>
    <s v="Acc"/>
    <m/>
  </r>
  <r>
    <x v="347"/>
    <s v="Wireless Earbuds"/>
    <x v="1"/>
    <n v="4643"/>
    <x v="1"/>
    <s v="2023-08-21"/>
    <x v="1"/>
    <x v="2"/>
    <n v="13929"/>
    <n v="60"/>
    <s v="Pending"/>
    <s v="Low"/>
    <s v="Bulk Order"/>
    <s v="Fitness-Kolkata"/>
    <s v="Fit"/>
    <m/>
  </r>
  <r>
    <x v="348"/>
    <s v="Backpack"/>
    <x v="1"/>
    <n v="3331"/>
    <x v="3"/>
    <s v="2023-09-15"/>
    <x v="5"/>
    <x v="1"/>
    <n v="3331"/>
    <n v="61"/>
    <s v="Delivered"/>
    <s v="Medium"/>
    <s v="Normal Order"/>
    <s v="Fitness-Bangalore"/>
    <s v="Fit"/>
    <m/>
  </r>
  <r>
    <x v="349"/>
    <s v="Wireless Earbuds"/>
    <x v="2"/>
    <n v="1904"/>
    <x v="2"/>
    <s v="2023-06-18"/>
    <x v="5"/>
    <x v="1"/>
    <n v="3808"/>
    <n v="50"/>
    <s v="Delivered"/>
    <s v="Low"/>
    <s v="Normal Order"/>
    <s v="Home-Bangalore"/>
    <s v="Hom"/>
    <m/>
  </r>
  <r>
    <x v="350"/>
    <s v="USB Cable"/>
    <x v="4"/>
    <n v="2758"/>
    <x v="1"/>
    <s v="2023-11-25"/>
    <x v="1"/>
    <x v="1"/>
    <n v="8274"/>
    <n v="77"/>
    <s v="Pending"/>
    <s v="Medium"/>
    <s v="Bulk Order"/>
    <s v="Electronics-Kolkata"/>
    <s v="Ele"/>
    <m/>
  </r>
  <r>
    <x v="351"/>
    <s v="Laptop Stand"/>
    <x v="4"/>
    <n v="295"/>
    <x v="0"/>
    <s v="2023-02-18"/>
    <x v="0"/>
    <x v="2"/>
    <n v="1180"/>
    <n v="72"/>
    <s v="Delivered"/>
    <s v="Low"/>
    <s v="Bulk Order"/>
    <s v="Electronics-Chennai"/>
    <s v="Ele"/>
    <m/>
  </r>
  <r>
    <x v="352"/>
    <s v="Bluetooth Speaker"/>
    <x v="4"/>
    <n v="3482"/>
    <x v="1"/>
    <s v="2023-12-05"/>
    <x v="5"/>
    <x v="2"/>
    <n v="10446"/>
    <n v="52"/>
    <s v="Delivered"/>
    <s v="Medium"/>
    <s v="Bulk Order"/>
    <s v="Electronics-Bangalore"/>
    <s v="Ele"/>
    <m/>
  </r>
  <r>
    <x v="353"/>
    <s v="Backpack"/>
    <x v="1"/>
    <n v="4935"/>
    <x v="1"/>
    <s v="2023-08-16"/>
    <x v="2"/>
    <x v="2"/>
    <n v="14805"/>
    <n v="34"/>
    <s v="Delivered"/>
    <s v="High"/>
    <s v="Bulk Order"/>
    <s v="Fitness-Hyderabad"/>
    <s v="Fit"/>
    <m/>
  </r>
  <r>
    <x v="354"/>
    <s v="Desk Organizer"/>
    <x v="2"/>
    <n v="1398"/>
    <x v="1"/>
    <s v="2023-03-08"/>
    <x v="3"/>
    <x v="0"/>
    <n v="4194"/>
    <n v="41"/>
    <s v="Delivered"/>
    <s v="Medium"/>
    <s v="Bulk Order"/>
    <s v="Home-Mumbai"/>
    <s v="Hom"/>
    <m/>
  </r>
  <r>
    <x v="355"/>
    <s v="Coffee Mug"/>
    <x v="3"/>
    <n v="3811"/>
    <x v="1"/>
    <s v="2023-05-10"/>
    <x v="0"/>
    <x v="3"/>
    <n v="11433"/>
    <n v="76"/>
    <s v="Pending"/>
    <s v="Medium"/>
    <s v="Bulk Order"/>
    <s v="Accessories-Chennai"/>
    <s v="Acc"/>
    <m/>
  </r>
  <r>
    <x v="356"/>
    <s v="LED Bulb"/>
    <x v="3"/>
    <n v="3345"/>
    <x v="2"/>
    <s v="2023-08-28"/>
    <x v="5"/>
    <x v="1"/>
    <n v="6690"/>
    <n v="49"/>
    <s v="Delivered"/>
    <s v="High"/>
    <s v="Normal Order"/>
    <s v="Accessories-Bangalore"/>
    <s v="Acc"/>
    <m/>
  </r>
  <r>
    <x v="357"/>
    <s v="Backpack"/>
    <x v="3"/>
    <n v="3219"/>
    <x v="0"/>
    <s v="2023-03-11"/>
    <x v="4"/>
    <x v="0"/>
    <n v="12876"/>
    <n v="73"/>
    <s v="Cancelled"/>
    <s v="High"/>
    <s v="Bulk Order"/>
    <s v="Accessories-Delhi"/>
    <s v="Acc"/>
    <m/>
  </r>
  <r>
    <x v="358"/>
    <s v="Coffee Mug"/>
    <x v="3"/>
    <n v="4542"/>
    <x v="3"/>
    <s v="2023-11-26"/>
    <x v="4"/>
    <x v="3"/>
    <n v="4542"/>
    <n v="84"/>
    <s v="Cancelled"/>
    <s v="Medium"/>
    <s v="Normal Order"/>
    <s v="Accessories-Delhi"/>
    <s v="Acc"/>
    <m/>
  </r>
  <r>
    <x v="359"/>
    <s v="LED Bulb"/>
    <x v="0"/>
    <n v="1415"/>
    <x v="2"/>
    <s v="2023-11-30"/>
    <x v="0"/>
    <x v="1"/>
    <n v="2830"/>
    <n v="33"/>
    <s v="Delivered"/>
    <s v="Medium"/>
    <s v="Normal Order"/>
    <s v="Lifestyle-Chennai"/>
    <s v="Lif"/>
    <m/>
  </r>
  <r>
    <x v="360"/>
    <s v="Laptop Stand"/>
    <x v="0"/>
    <n v="347"/>
    <x v="3"/>
    <s v="2023-01-07"/>
    <x v="5"/>
    <x v="0"/>
    <n v="347"/>
    <n v="26"/>
    <s v="Delivered"/>
    <s v="Medium"/>
    <s v="Normal Order"/>
    <s v="Lifestyle-Bangalore"/>
    <s v="Lif"/>
    <m/>
  </r>
  <r>
    <x v="361"/>
    <s v="Laptop Stand"/>
    <x v="0"/>
    <n v="3379"/>
    <x v="0"/>
    <s v="2023-04-11"/>
    <x v="0"/>
    <x v="2"/>
    <n v="13516"/>
    <n v="57"/>
    <s v="Delivered"/>
    <s v="High"/>
    <s v="Bulk Order"/>
    <s v="Lifestyle-Chennai"/>
    <s v="Lif"/>
    <m/>
  </r>
  <r>
    <x v="362"/>
    <s v="Laptop Stand"/>
    <x v="3"/>
    <n v="3375"/>
    <x v="1"/>
    <s v="2023-10-14"/>
    <x v="4"/>
    <x v="0"/>
    <n v="10125"/>
    <n v="84"/>
    <s v="Delivered"/>
    <s v="Medium"/>
    <s v="Bulk Order"/>
    <s v="Accessories-Delhi"/>
    <s v="Acc"/>
    <m/>
  </r>
  <r>
    <x v="363"/>
    <s v="Desk Organizer"/>
    <x v="2"/>
    <n v="2246"/>
    <x v="1"/>
    <s v="2023-03-14"/>
    <x v="3"/>
    <x v="2"/>
    <n v="6738"/>
    <n v="33"/>
    <s v="Delivered"/>
    <s v="Medium"/>
    <s v="Bulk Order"/>
    <s v="Home-Mumbai"/>
    <s v="Hom"/>
    <m/>
  </r>
  <r>
    <x v="364"/>
    <s v="Water Bottle"/>
    <x v="2"/>
    <n v="1885"/>
    <x v="1"/>
    <s v="2023-08-09"/>
    <x v="3"/>
    <x v="0"/>
    <n v="5655"/>
    <n v="24"/>
    <s v="Delivered"/>
    <s v="Medium"/>
    <s v="Bulk Order"/>
    <s v="Home-Mumbai"/>
    <s v="Hom"/>
    <m/>
  </r>
  <r>
    <x v="365"/>
    <s v="Power Bank"/>
    <x v="0"/>
    <n v="4932"/>
    <x v="2"/>
    <s v="2023-07-07"/>
    <x v="0"/>
    <x v="1"/>
    <n v="9864"/>
    <n v="68"/>
    <s v="Delivered"/>
    <s v="Medium"/>
    <s v="Normal Order"/>
    <s v="Lifestyle-Chennai"/>
    <s v="Lif"/>
    <m/>
  </r>
  <r>
    <x v="366"/>
    <s v="Desk Organizer"/>
    <x v="3"/>
    <n v="2300"/>
    <x v="2"/>
    <s v="2023-12-01"/>
    <x v="0"/>
    <x v="1"/>
    <n v="4600"/>
    <n v="49"/>
    <s v="Delivered"/>
    <s v="Low"/>
    <s v="Normal Order"/>
    <s v="Accessories-Chennai"/>
    <s v="Acc"/>
    <m/>
  </r>
  <r>
    <x v="367"/>
    <s v="USB Cable"/>
    <x v="0"/>
    <n v="1233"/>
    <x v="3"/>
    <s v="2023-07-08"/>
    <x v="0"/>
    <x v="3"/>
    <n v="1233"/>
    <n v="98"/>
    <s v="Pending"/>
    <s v="High"/>
    <s v="Normal Order"/>
    <s v="Lifestyle-Chennai"/>
    <s v="Lif"/>
    <m/>
  </r>
  <r>
    <x v="368"/>
    <s v="Bluetooth Speaker"/>
    <x v="1"/>
    <n v="2886"/>
    <x v="0"/>
    <s v="2023-10-17"/>
    <x v="0"/>
    <x v="1"/>
    <n v="11544"/>
    <n v="62"/>
    <s v="Cancelled"/>
    <s v="Medium"/>
    <s v="Bulk Order"/>
    <s v="Fitness-Chennai"/>
    <s v="Fit"/>
    <m/>
  </r>
  <r>
    <x v="369"/>
    <s v="LED Bulb"/>
    <x v="3"/>
    <n v="3147"/>
    <x v="3"/>
    <s v="2023-07-15"/>
    <x v="3"/>
    <x v="3"/>
    <n v="3147"/>
    <n v="30"/>
    <s v="Cancelled"/>
    <s v="High"/>
    <s v="Normal Order"/>
    <s v="Accessories-Mumbai"/>
    <s v="Acc"/>
    <m/>
  </r>
  <r>
    <x v="370"/>
    <s v="Wireless Earbuds"/>
    <x v="4"/>
    <n v="3104"/>
    <x v="2"/>
    <s v="2023-10-06"/>
    <x v="4"/>
    <x v="1"/>
    <n v="6208"/>
    <n v="73"/>
    <s v="Delivered"/>
    <s v="Medium"/>
    <s v="Normal Order"/>
    <s v="Electronics-Delhi"/>
    <s v="Ele"/>
    <m/>
  </r>
  <r>
    <x v="371"/>
    <s v="Laptop Stand"/>
    <x v="4"/>
    <n v="1593"/>
    <x v="1"/>
    <s v="2023-10-25"/>
    <x v="0"/>
    <x v="3"/>
    <n v="4779"/>
    <n v="81"/>
    <s v="Delivered"/>
    <s v="Low"/>
    <s v="Bulk Order"/>
    <s v="Electronics-Chennai"/>
    <s v="Ele"/>
    <m/>
  </r>
  <r>
    <x v="372"/>
    <s v="Fitness Band"/>
    <x v="1"/>
    <n v="593"/>
    <x v="2"/>
    <s v="2023-04-27"/>
    <x v="0"/>
    <x v="2"/>
    <n v="1186"/>
    <n v="93"/>
    <s v="Delivered"/>
    <s v="High"/>
    <s v="Normal Order"/>
    <s v="Fitness-Chennai"/>
    <s v="Fit"/>
    <m/>
  </r>
  <r>
    <x v="373"/>
    <s v="LED Bulb"/>
    <x v="2"/>
    <n v="1059"/>
    <x v="1"/>
    <s v="2023-01-11"/>
    <x v="4"/>
    <x v="3"/>
    <n v="3177"/>
    <n v="99"/>
    <s v="Delivered"/>
    <s v="Medium"/>
    <s v="Bulk Order"/>
    <s v="Home-Delhi"/>
    <s v="Hom"/>
    <m/>
  </r>
  <r>
    <x v="374"/>
    <s v="Desk Organizer"/>
    <x v="4"/>
    <n v="2441"/>
    <x v="2"/>
    <s v="2023-07-11"/>
    <x v="2"/>
    <x v="0"/>
    <n v="4882"/>
    <n v="100"/>
    <s v="Pending"/>
    <s v="Medium"/>
    <s v="Normal Order"/>
    <s v="Electronics-Hyderabad"/>
    <s v="Ele"/>
    <m/>
  </r>
  <r>
    <x v="375"/>
    <s v="Power Bank"/>
    <x v="2"/>
    <n v="4660"/>
    <x v="2"/>
    <s v="2023-06-29"/>
    <x v="5"/>
    <x v="2"/>
    <n v="9320"/>
    <n v="28"/>
    <s v="Delivered"/>
    <s v="Low"/>
    <s v="Normal Order"/>
    <s v="Home-Bangalore"/>
    <s v="Hom"/>
    <m/>
  </r>
  <r>
    <x v="376"/>
    <s v="Fitness Band"/>
    <x v="0"/>
    <n v="4787"/>
    <x v="1"/>
    <s v="2023-11-14"/>
    <x v="4"/>
    <x v="0"/>
    <n v="14361"/>
    <n v="41"/>
    <s v="Delivered"/>
    <s v="Medium"/>
    <s v="Bulk Order"/>
    <s v="Lifestyle-Delhi"/>
    <s v="Lif"/>
    <m/>
  </r>
  <r>
    <x v="377"/>
    <s v="Backpack"/>
    <x v="3"/>
    <n v="647"/>
    <x v="2"/>
    <s v="2023-10-29"/>
    <x v="5"/>
    <x v="1"/>
    <n v="1294"/>
    <n v="34"/>
    <s v="Pending"/>
    <s v="Medium"/>
    <s v="Normal Order"/>
    <s v="Accessories-Bangalore"/>
    <s v="Acc"/>
    <m/>
  </r>
  <r>
    <x v="378"/>
    <s v="Wireless Earbuds"/>
    <x v="2"/>
    <n v="2722"/>
    <x v="1"/>
    <s v="2023-03-27"/>
    <x v="4"/>
    <x v="2"/>
    <n v="8166"/>
    <n v="44"/>
    <s v="Delivered"/>
    <s v="Medium"/>
    <s v="Bulk Order"/>
    <s v="Home-Delhi"/>
    <s v="Hom"/>
    <m/>
  </r>
  <r>
    <x v="379"/>
    <s v="Bluetooth Speaker"/>
    <x v="4"/>
    <n v="3896"/>
    <x v="3"/>
    <s v="2023-07-29"/>
    <x v="2"/>
    <x v="0"/>
    <n v="3896"/>
    <n v="60"/>
    <s v="Delivered"/>
    <s v="Low"/>
    <s v="Normal Order"/>
    <s v="Electronics-Hyderabad"/>
    <s v="Ele"/>
    <m/>
  </r>
  <r>
    <x v="380"/>
    <s v="Water Bottle"/>
    <x v="1"/>
    <n v="3652"/>
    <x v="2"/>
    <s v="2023-01-13"/>
    <x v="1"/>
    <x v="1"/>
    <n v="7304"/>
    <n v="87"/>
    <s v="Delivered"/>
    <s v="Medium"/>
    <s v="Normal Order"/>
    <s v="Fitness-Kolkata"/>
    <s v="Fit"/>
    <m/>
  </r>
  <r>
    <x v="381"/>
    <s v="Smartphone Case"/>
    <x v="0"/>
    <n v="3634"/>
    <x v="1"/>
    <s v="2023-02-21"/>
    <x v="4"/>
    <x v="2"/>
    <n v="10902"/>
    <n v="26"/>
    <s v="Cancelled"/>
    <s v="High"/>
    <s v="Bulk Order"/>
    <s v="Lifestyle-Delhi"/>
    <s v="Lif"/>
    <m/>
  </r>
  <r>
    <x v="382"/>
    <s v="Desk Organizer"/>
    <x v="4"/>
    <n v="4540"/>
    <x v="2"/>
    <s v="2023-03-24"/>
    <x v="4"/>
    <x v="1"/>
    <n v="9080"/>
    <n v="27"/>
    <s v="Delivered"/>
    <s v="Low"/>
    <s v="Normal Order"/>
    <s v="Electronics-Delhi"/>
    <s v="Ele"/>
    <m/>
  </r>
  <r>
    <x v="383"/>
    <s v="LED Bulb"/>
    <x v="0"/>
    <n v="1780"/>
    <x v="1"/>
    <s v="2023-03-04"/>
    <x v="0"/>
    <x v="2"/>
    <n v="5340"/>
    <n v="96"/>
    <s v="Delivered"/>
    <s v="High"/>
    <s v="Bulk Order"/>
    <s v="Lifestyle-Chennai"/>
    <s v="Lif"/>
    <m/>
  </r>
  <r>
    <x v="384"/>
    <s v="Bluetooth Speaker"/>
    <x v="0"/>
    <n v="3754"/>
    <x v="2"/>
    <s v="2023-07-09"/>
    <x v="0"/>
    <x v="2"/>
    <n v="7508"/>
    <n v="29"/>
    <s v="Delivered"/>
    <s v="High"/>
    <s v="Normal Order"/>
    <s v="Lifestyle-Chennai"/>
    <s v="Lif"/>
    <m/>
  </r>
  <r>
    <x v="385"/>
    <s v="Water Bottle"/>
    <x v="0"/>
    <n v="4696"/>
    <x v="3"/>
    <s v="2023-01-05"/>
    <x v="0"/>
    <x v="0"/>
    <n v="4696"/>
    <n v="95"/>
    <s v="Delivered"/>
    <s v="High"/>
    <s v="Normal Order"/>
    <s v="Lifestyle-Chennai"/>
    <s v="Lif"/>
    <m/>
  </r>
  <r>
    <x v="386"/>
    <s v="Water Bottle"/>
    <x v="3"/>
    <n v="3872"/>
    <x v="2"/>
    <s v="2023-05-04"/>
    <x v="3"/>
    <x v="3"/>
    <n v="7744"/>
    <n v="56"/>
    <s v="Pending"/>
    <s v="High"/>
    <s v="Normal Order"/>
    <s v="Accessories-Mumbai"/>
    <s v="Acc"/>
    <m/>
  </r>
  <r>
    <x v="387"/>
    <s v="LED Bulb"/>
    <x v="1"/>
    <n v="4582"/>
    <x v="1"/>
    <s v="2023-08-23"/>
    <x v="2"/>
    <x v="0"/>
    <n v="13746"/>
    <n v="23"/>
    <s v="Delivered"/>
    <s v="Medium"/>
    <s v="Bulk Order"/>
    <s v="Fitness-Hyderabad"/>
    <s v="Fit"/>
    <m/>
  </r>
  <r>
    <x v="388"/>
    <s v="USB Cable"/>
    <x v="2"/>
    <n v="2247"/>
    <x v="0"/>
    <s v="2023-06-05"/>
    <x v="1"/>
    <x v="1"/>
    <n v="8988"/>
    <n v="29"/>
    <s v="Delivered"/>
    <s v="High"/>
    <s v="Bulk Order"/>
    <s v="Home-Kolkata"/>
    <s v="Hom"/>
    <m/>
  </r>
  <r>
    <x v="389"/>
    <s v="Desk Organizer"/>
    <x v="4"/>
    <n v="4949"/>
    <x v="3"/>
    <s v="2023-03-28"/>
    <x v="3"/>
    <x v="3"/>
    <n v="4949"/>
    <n v="55"/>
    <s v="Delivered"/>
    <s v="Medium"/>
    <s v="Normal Order"/>
    <s v="Electronics-Mumbai"/>
    <s v="Ele"/>
    <m/>
  </r>
  <r>
    <x v="390"/>
    <s v="Water Bottle"/>
    <x v="1"/>
    <n v="4774"/>
    <x v="2"/>
    <s v="2023-08-27"/>
    <x v="1"/>
    <x v="1"/>
    <n v="9548"/>
    <n v="96"/>
    <s v="Delivered"/>
    <s v="Medium"/>
    <s v="Normal Order"/>
    <s v="Fitness-Kolkata"/>
    <s v="Fit"/>
    <m/>
  </r>
  <r>
    <x v="391"/>
    <s v="Water Bottle"/>
    <x v="2"/>
    <n v="1293"/>
    <x v="0"/>
    <s v="2023-12-29"/>
    <x v="1"/>
    <x v="2"/>
    <n v="5172"/>
    <n v="34"/>
    <s v="Delivered"/>
    <s v="Medium"/>
    <s v="Bulk Order"/>
    <s v="Home-Kolkata"/>
    <s v="Hom"/>
    <m/>
  </r>
  <r>
    <x v="392"/>
    <s v="USB Cable"/>
    <x v="3"/>
    <n v="4836"/>
    <x v="0"/>
    <s v="2023-07-27"/>
    <x v="1"/>
    <x v="1"/>
    <n v="19344"/>
    <n v="79"/>
    <s v="Cancelled"/>
    <s v="Medium"/>
    <s v="Bulk Order"/>
    <s v="Accessories-Kolkata"/>
    <s v="Acc"/>
    <m/>
  </r>
  <r>
    <x v="393"/>
    <s v="LED Bulb"/>
    <x v="2"/>
    <n v="4331"/>
    <x v="3"/>
    <s v="2023-05-20"/>
    <x v="4"/>
    <x v="3"/>
    <n v="4331"/>
    <n v="71"/>
    <s v="Delivered"/>
    <s v="Low"/>
    <s v="Normal Order"/>
    <s v="Home-Delhi"/>
    <s v="Hom"/>
    <m/>
  </r>
  <r>
    <x v="394"/>
    <s v="Water Bottle"/>
    <x v="2"/>
    <n v="4215"/>
    <x v="2"/>
    <s v="2023-09-10"/>
    <x v="2"/>
    <x v="0"/>
    <n v="8430"/>
    <n v="23"/>
    <s v="Cancelled"/>
    <s v="High"/>
    <s v="Normal Order"/>
    <s v="Home-Hyderabad"/>
    <s v="Hom"/>
    <m/>
  </r>
  <r>
    <x v="395"/>
    <s v="Backpack"/>
    <x v="3"/>
    <n v="4852"/>
    <x v="2"/>
    <s v="2023-10-05"/>
    <x v="3"/>
    <x v="3"/>
    <n v="9704"/>
    <n v="87"/>
    <s v="Cancelled"/>
    <s v="High"/>
    <s v="Normal Order"/>
    <s v="Accessories-Mumbai"/>
    <s v="Acc"/>
    <m/>
  </r>
  <r>
    <x v="396"/>
    <s v="Wireless Earbuds"/>
    <x v="2"/>
    <n v="927"/>
    <x v="0"/>
    <s v="2023-05-08"/>
    <x v="3"/>
    <x v="1"/>
    <n v="3708"/>
    <n v="24"/>
    <s v="Delivered"/>
    <s v="High"/>
    <s v="Bulk Order"/>
    <s v="Home-Mumbai"/>
    <s v="Hom"/>
    <m/>
  </r>
  <r>
    <x v="397"/>
    <s v="Power Bank"/>
    <x v="2"/>
    <n v="3485"/>
    <x v="1"/>
    <s v="2023-01-19"/>
    <x v="3"/>
    <x v="0"/>
    <n v="10455"/>
    <n v="34"/>
    <s v="Delivered"/>
    <s v="High"/>
    <s v="Bulk Order"/>
    <s v="Home-Mumbai"/>
    <s v="Hom"/>
    <m/>
  </r>
  <r>
    <x v="398"/>
    <s v="Backpack"/>
    <x v="0"/>
    <n v="2172"/>
    <x v="2"/>
    <s v="2023-10-04"/>
    <x v="1"/>
    <x v="0"/>
    <n v="4344"/>
    <n v="31"/>
    <s v="Pending"/>
    <s v="Medium"/>
    <s v="Normal Order"/>
    <s v="Lifestyle-Kolkata"/>
    <s v="Lif"/>
    <m/>
  </r>
  <r>
    <x v="399"/>
    <s v="Water Bottle"/>
    <x v="4"/>
    <n v="4737"/>
    <x v="2"/>
    <s v="2023-09-23"/>
    <x v="4"/>
    <x v="2"/>
    <n v="9474"/>
    <n v="95"/>
    <s v="Delivered"/>
    <s v="High"/>
    <s v="Normal Order"/>
    <s v="Electronics-Delhi"/>
    <s v="Ele"/>
    <m/>
  </r>
  <r>
    <x v="400"/>
    <s v="LED Bulb"/>
    <x v="0"/>
    <n v="3465"/>
    <x v="0"/>
    <s v="2023-03-14"/>
    <x v="0"/>
    <x v="0"/>
    <n v="13860"/>
    <n v="88"/>
    <s v="Delivered"/>
    <s v="High"/>
    <s v="Bulk Order"/>
    <s v="Lifestyle-Chennai"/>
    <s v="Lif"/>
    <m/>
  </r>
  <r>
    <x v="401"/>
    <s v="Laptop Stand"/>
    <x v="2"/>
    <n v="3787"/>
    <x v="2"/>
    <s v="2023-12-05"/>
    <x v="3"/>
    <x v="2"/>
    <n v="7574"/>
    <n v="67"/>
    <s v="Pending"/>
    <s v="High"/>
    <s v="Normal Order"/>
    <s v="Home-Mumbai"/>
    <s v="Hom"/>
    <m/>
  </r>
  <r>
    <x v="402"/>
    <s v="Backpack"/>
    <x v="2"/>
    <n v="3808"/>
    <x v="0"/>
    <s v="2023-12-07"/>
    <x v="4"/>
    <x v="0"/>
    <n v="15232"/>
    <n v="22"/>
    <s v="Delivered"/>
    <s v="Medium"/>
    <s v="Bulk Order"/>
    <s v="Home-Delhi"/>
    <s v="Hom"/>
    <m/>
  </r>
  <r>
    <x v="403"/>
    <s v="Power Bank"/>
    <x v="2"/>
    <n v="698"/>
    <x v="2"/>
    <s v="2023-07-22"/>
    <x v="5"/>
    <x v="2"/>
    <n v="1396"/>
    <n v="46"/>
    <s v="Delivered"/>
    <s v="Medium"/>
    <s v="Normal Order"/>
    <s v="Home-Bangalore"/>
    <s v="Hom"/>
    <m/>
  </r>
  <r>
    <x v="404"/>
    <s v="Backpack"/>
    <x v="3"/>
    <n v="3113"/>
    <x v="1"/>
    <s v="2023-05-22"/>
    <x v="4"/>
    <x v="1"/>
    <n v="9339"/>
    <n v="91"/>
    <s v="Cancelled"/>
    <s v="Medium"/>
    <s v="Bulk Order"/>
    <s v="Accessories-Delhi"/>
    <s v="Acc"/>
    <m/>
  </r>
  <r>
    <x v="405"/>
    <s v="Laptop Stand"/>
    <x v="3"/>
    <n v="3607"/>
    <x v="3"/>
    <s v="2023-04-14"/>
    <x v="5"/>
    <x v="2"/>
    <n v="3607"/>
    <n v="74"/>
    <s v="Pending"/>
    <s v="Medium"/>
    <s v="Normal Order"/>
    <s v="Accessories-Bangalore"/>
    <s v="Acc"/>
    <m/>
  </r>
  <r>
    <x v="406"/>
    <s v="Water Bottle"/>
    <x v="3"/>
    <n v="1354"/>
    <x v="0"/>
    <s v="2023-01-05"/>
    <x v="1"/>
    <x v="2"/>
    <n v="5416"/>
    <n v="46"/>
    <s v="Delivered"/>
    <s v="Low"/>
    <s v="Bulk Order"/>
    <s v="Accessories-Kolkata"/>
    <s v="Acc"/>
    <m/>
  </r>
  <r>
    <x v="407"/>
    <s v="Fitness Band"/>
    <x v="1"/>
    <n v="2277"/>
    <x v="3"/>
    <s v="2023-03-29"/>
    <x v="4"/>
    <x v="2"/>
    <n v="2277"/>
    <n v="51"/>
    <s v="Pending"/>
    <s v="Medium"/>
    <s v="Normal Order"/>
    <s v="Fitness-Delhi"/>
    <s v="Fit"/>
    <m/>
  </r>
  <r>
    <x v="408"/>
    <s v="Water Bottle"/>
    <x v="1"/>
    <n v="3025"/>
    <x v="0"/>
    <s v="2023-10-19"/>
    <x v="4"/>
    <x v="0"/>
    <n v="12100"/>
    <n v="59"/>
    <s v="Delivered"/>
    <s v="Medium"/>
    <s v="Bulk Order"/>
    <s v="Fitness-Delhi"/>
    <s v="Fit"/>
    <m/>
  </r>
  <r>
    <x v="409"/>
    <s v="Coffee Mug"/>
    <x v="3"/>
    <n v="2453"/>
    <x v="1"/>
    <s v="2023-05-09"/>
    <x v="4"/>
    <x v="1"/>
    <n v="7359"/>
    <n v="73"/>
    <s v="Cancelled"/>
    <s v="High"/>
    <s v="Bulk Order"/>
    <s v="Accessories-Delhi"/>
    <s v="Acc"/>
    <m/>
  </r>
  <r>
    <x v="410"/>
    <s v="LED Bulb"/>
    <x v="0"/>
    <n v="4922"/>
    <x v="2"/>
    <s v="2023-07-06"/>
    <x v="3"/>
    <x v="2"/>
    <n v="9844"/>
    <n v="99"/>
    <s v="Delivered"/>
    <s v="Medium"/>
    <s v="Normal Order"/>
    <s v="Lifestyle-Mumbai"/>
    <s v="Lif"/>
    <m/>
  </r>
  <r>
    <x v="411"/>
    <s v="Backpack"/>
    <x v="1"/>
    <n v="2297"/>
    <x v="1"/>
    <s v="2023-09-26"/>
    <x v="0"/>
    <x v="3"/>
    <n v="6891"/>
    <n v="77"/>
    <s v="Delivered"/>
    <s v="Medium"/>
    <s v="Bulk Order"/>
    <s v="Fitness-Chennai"/>
    <s v="Fit"/>
    <m/>
  </r>
  <r>
    <x v="412"/>
    <s v="Smartphone Case"/>
    <x v="2"/>
    <n v="4040"/>
    <x v="1"/>
    <s v="2023-08-22"/>
    <x v="5"/>
    <x v="0"/>
    <n v="12120"/>
    <n v="29"/>
    <s v="Cancelled"/>
    <s v="High"/>
    <s v="Bulk Order"/>
    <s v="Home-Bangalore"/>
    <s v="Hom"/>
    <m/>
  </r>
  <r>
    <x v="413"/>
    <s v="Bluetooth Speaker"/>
    <x v="3"/>
    <n v="2015"/>
    <x v="1"/>
    <s v="2023-07-24"/>
    <x v="3"/>
    <x v="1"/>
    <n v="6045"/>
    <n v="37"/>
    <s v="Delivered"/>
    <s v="High"/>
    <s v="Bulk Order"/>
    <s v="Accessories-Mumbai"/>
    <s v="Acc"/>
    <m/>
  </r>
  <r>
    <x v="414"/>
    <s v="Backpack"/>
    <x v="4"/>
    <n v="1128"/>
    <x v="0"/>
    <s v="2023-07-26"/>
    <x v="5"/>
    <x v="0"/>
    <n v="4512"/>
    <n v="74"/>
    <s v="Delivered"/>
    <s v="Low"/>
    <s v="Bulk Order"/>
    <s v="Electronics-Bangalore"/>
    <s v="Ele"/>
    <m/>
  </r>
  <r>
    <x v="415"/>
    <s v="Laptop Stand"/>
    <x v="3"/>
    <n v="2400"/>
    <x v="0"/>
    <s v="2023-03-01"/>
    <x v="5"/>
    <x v="2"/>
    <n v="9600"/>
    <n v="85"/>
    <s v="Delivered"/>
    <s v="Low"/>
    <s v="Bulk Order"/>
    <s v="Accessories-Bangalore"/>
    <s v="Acc"/>
    <m/>
  </r>
  <r>
    <x v="416"/>
    <s v="Fitness Band"/>
    <x v="3"/>
    <n v="449"/>
    <x v="0"/>
    <s v="2023-08-31"/>
    <x v="1"/>
    <x v="0"/>
    <n v="1796"/>
    <n v="65"/>
    <s v="Delivered"/>
    <s v="Medium"/>
    <s v="Bulk Order"/>
    <s v="Accessories-Kolkata"/>
    <s v="Acc"/>
    <m/>
  </r>
  <r>
    <x v="417"/>
    <s v="Power Bank"/>
    <x v="3"/>
    <n v="3760"/>
    <x v="1"/>
    <s v="2023-08-08"/>
    <x v="3"/>
    <x v="3"/>
    <n v="11280"/>
    <n v="30"/>
    <s v="Pending"/>
    <s v="Medium"/>
    <s v="Bulk Order"/>
    <s v="Accessories-Mumbai"/>
    <s v="Acc"/>
    <m/>
  </r>
  <r>
    <x v="418"/>
    <s v="Backpack"/>
    <x v="1"/>
    <n v="1641"/>
    <x v="0"/>
    <s v="2023-04-29"/>
    <x v="2"/>
    <x v="1"/>
    <n v="6564"/>
    <n v="82"/>
    <s v="Delivered"/>
    <s v="Low"/>
    <s v="Bulk Order"/>
    <s v="Fitness-Hyderabad"/>
    <s v="Fit"/>
    <m/>
  </r>
  <r>
    <x v="419"/>
    <s v="Laptop Stand"/>
    <x v="0"/>
    <n v="1399"/>
    <x v="1"/>
    <s v="2023-04-25"/>
    <x v="0"/>
    <x v="2"/>
    <n v="4197"/>
    <n v="89"/>
    <s v="Delivered"/>
    <s v="Medium"/>
    <s v="Bulk Order"/>
    <s v="Lifestyle-Chennai"/>
    <s v="Lif"/>
    <m/>
  </r>
  <r>
    <x v="420"/>
    <s v="Backpack"/>
    <x v="1"/>
    <n v="2960"/>
    <x v="1"/>
    <s v="2023-12-24"/>
    <x v="3"/>
    <x v="3"/>
    <n v="8880"/>
    <n v="100"/>
    <s v="Pending"/>
    <s v="High"/>
    <s v="Bulk Order"/>
    <s v="Fitness-Mumbai"/>
    <s v="Fit"/>
    <m/>
  </r>
  <r>
    <x v="421"/>
    <s v="Water Bottle"/>
    <x v="4"/>
    <n v="2660"/>
    <x v="1"/>
    <s v="2023-11-06"/>
    <x v="4"/>
    <x v="1"/>
    <n v="7980"/>
    <n v="71"/>
    <s v="Delivered"/>
    <s v="Medium"/>
    <s v="Bulk Order"/>
    <s v="Electronics-Delhi"/>
    <s v="Ele"/>
    <m/>
  </r>
  <r>
    <x v="422"/>
    <s v="Smartphone Case"/>
    <x v="3"/>
    <n v="1702"/>
    <x v="2"/>
    <s v="2023-10-06"/>
    <x v="5"/>
    <x v="2"/>
    <n v="3404"/>
    <n v="33"/>
    <s v="Pending"/>
    <s v="High"/>
    <s v="Normal Order"/>
    <s v="Accessories-Bangalore"/>
    <s v="Acc"/>
    <m/>
  </r>
  <r>
    <x v="423"/>
    <s v="LED Bulb"/>
    <x v="0"/>
    <n v="1817"/>
    <x v="1"/>
    <s v="2023-11-07"/>
    <x v="5"/>
    <x v="2"/>
    <n v="5451"/>
    <n v="83"/>
    <s v="Delivered"/>
    <s v="Medium"/>
    <s v="Bulk Order"/>
    <s v="Lifestyle-Bangalore"/>
    <s v="Lif"/>
    <m/>
  </r>
  <r>
    <x v="424"/>
    <s v="Desk Organizer"/>
    <x v="4"/>
    <n v="3397"/>
    <x v="3"/>
    <s v="2023-08-13"/>
    <x v="2"/>
    <x v="2"/>
    <n v="3397"/>
    <n v="25"/>
    <s v="Delivered"/>
    <s v="Medium"/>
    <s v="Normal Order"/>
    <s v="Electronics-Hyderabad"/>
    <s v="Ele"/>
    <m/>
  </r>
  <r>
    <x v="425"/>
    <s v="Laptop Stand"/>
    <x v="4"/>
    <n v="1188"/>
    <x v="2"/>
    <s v="2023-08-28"/>
    <x v="0"/>
    <x v="0"/>
    <n v="2376"/>
    <n v="49"/>
    <s v="Delivered"/>
    <s v="Medium"/>
    <s v="Normal Order"/>
    <s v="Electronics-Chennai"/>
    <s v="Ele"/>
    <m/>
  </r>
  <r>
    <x v="426"/>
    <s v="USB Cable"/>
    <x v="2"/>
    <n v="4174"/>
    <x v="2"/>
    <s v="2023-06-14"/>
    <x v="5"/>
    <x v="2"/>
    <n v="8348"/>
    <n v="56"/>
    <s v="Delivered"/>
    <s v="Medium"/>
    <s v="Normal Order"/>
    <s v="Home-Bangalore"/>
    <s v="Hom"/>
    <m/>
  </r>
  <r>
    <x v="427"/>
    <s v="Desk Organizer"/>
    <x v="0"/>
    <n v="4953"/>
    <x v="3"/>
    <s v="2023-02-03"/>
    <x v="4"/>
    <x v="0"/>
    <n v="4953"/>
    <n v="97"/>
    <s v="Delivered"/>
    <s v="High"/>
    <s v="Normal Order"/>
    <s v="Lifestyle-Delhi"/>
    <s v="Lif"/>
    <m/>
  </r>
  <r>
    <x v="428"/>
    <s v="LED Bulb"/>
    <x v="1"/>
    <n v="1958"/>
    <x v="2"/>
    <s v="2023-07-15"/>
    <x v="0"/>
    <x v="0"/>
    <n v="3916"/>
    <n v="43"/>
    <s v="Cancelled"/>
    <s v="Low"/>
    <s v="Normal Order"/>
    <s v="Fitness-Chennai"/>
    <s v="Fit"/>
    <m/>
  </r>
  <r>
    <x v="429"/>
    <s v="USB Cable"/>
    <x v="1"/>
    <n v="1743"/>
    <x v="0"/>
    <s v="2023-07-06"/>
    <x v="3"/>
    <x v="1"/>
    <n v="6972"/>
    <n v="73"/>
    <s v="Delivered"/>
    <s v="Low"/>
    <s v="Bulk Order"/>
    <s v="Fitness-Mumbai"/>
    <s v="Fit"/>
    <m/>
  </r>
  <r>
    <x v="430"/>
    <s v="LED Bulb"/>
    <x v="1"/>
    <n v="2545"/>
    <x v="2"/>
    <s v="2023-10-26"/>
    <x v="1"/>
    <x v="1"/>
    <n v="5090"/>
    <n v="37"/>
    <s v="Delivered"/>
    <s v="Low"/>
    <s v="Normal Order"/>
    <s v="Fitness-Kolkata"/>
    <s v="Fit"/>
    <m/>
  </r>
  <r>
    <x v="431"/>
    <s v="Smartphone Case"/>
    <x v="4"/>
    <n v="3530"/>
    <x v="0"/>
    <s v="2023-05-29"/>
    <x v="4"/>
    <x v="0"/>
    <n v="14120"/>
    <n v="46"/>
    <s v="Cancelled"/>
    <s v="High"/>
    <s v="Bulk Order"/>
    <s v="Electronics-Delhi"/>
    <s v="Ele"/>
    <m/>
  </r>
  <r>
    <x v="432"/>
    <s v="Coffee Mug"/>
    <x v="3"/>
    <n v="1738"/>
    <x v="2"/>
    <s v="2023-12-16"/>
    <x v="2"/>
    <x v="2"/>
    <n v="3476"/>
    <n v="79"/>
    <s v="Pending"/>
    <s v="High"/>
    <s v="Normal Order"/>
    <s v="Accessories-Hyderabad"/>
    <s v="Acc"/>
    <m/>
  </r>
  <r>
    <x v="433"/>
    <s v="Backpack"/>
    <x v="3"/>
    <n v="505"/>
    <x v="2"/>
    <s v="2023-04-21"/>
    <x v="2"/>
    <x v="2"/>
    <n v="1010"/>
    <n v="30"/>
    <s v="Delivered"/>
    <s v="Medium"/>
    <s v="Normal Order"/>
    <s v="Accessories-Hyderabad"/>
    <s v="Acc"/>
    <m/>
  </r>
  <r>
    <x v="434"/>
    <s v="Smartphone Case"/>
    <x v="3"/>
    <n v="4639"/>
    <x v="3"/>
    <s v="2023-12-27"/>
    <x v="1"/>
    <x v="0"/>
    <n v="4639"/>
    <n v="32"/>
    <s v="Cancelled"/>
    <s v="Low"/>
    <s v="Normal Order"/>
    <s v="Accessories-Kolkata"/>
    <s v="Acc"/>
    <m/>
  </r>
  <r>
    <x v="435"/>
    <s v="Desk Organizer"/>
    <x v="2"/>
    <n v="2249"/>
    <x v="3"/>
    <s v="2023-01-16"/>
    <x v="3"/>
    <x v="3"/>
    <n v="2249"/>
    <n v="20"/>
    <s v="Cancelled"/>
    <s v="Medium"/>
    <s v="Normal Order"/>
    <s v="Home-Mumbai"/>
    <s v="Hom"/>
    <m/>
  </r>
  <r>
    <x v="436"/>
    <s v="Power Bank"/>
    <x v="0"/>
    <n v="4750"/>
    <x v="0"/>
    <s v="2023-10-27"/>
    <x v="2"/>
    <x v="0"/>
    <n v="19000"/>
    <n v="46"/>
    <s v="Delivered"/>
    <s v="Low"/>
    <s v="Bulk Order"/>
    <s v="Lifestyle-Hyderabad"/>
    <s v="Lif"/>
    <m/>
  </r>
  <r>
    <x v="437"/>
    <s v="Laptop Stand"/>
    <x v="2"/>
    <n v="3056"/>
    <x v="3"/>
    <s v="2023-09-15"/>
    <x v="4"/>
    <x v="3"/>
    <n v="3056"/>
    <n v="43"/>
    <s v="Delivered"/>
    <s v="High"/>
    <s v="Normal Order"/>
    <s v="Home-Delhi"/>
    <s v="Hom"/>
    <m/>
  </r>
  <r>
    <x v="438"/>
    <s v="Wireless Earbuds"/>
    <x v="0"/>
    <n v="2069"/>
    <x v="3"/>
    <s v="2023-09-11"/>
    <x v="4"/>
    <x v="3"/>
    <n v="2069"/>
    <n v="66"/>
    <s v="Delivered"/>
    <s v="High"/>
    <s v="Normal Order"/>
    <s v="Lifestyle-Delhi"/>
    <s v="Lif"/>
    <m/>
  </r>
  <r>
    <x v="439"/>
    <s v="Laptop Stand"/>
    <x v="4"/>
    <n v="3535"/>
    <x v="1"/>
    <s v="2023-01-01"/>
    <x v="4"/>
    <x v="1"/>
    <n v="10605"/>
    <n v="20"/>
    <s v="Delivered"/>
    <s v="High"/>
    <s v="Bulk Order"/>
    <s v="Electronics-Delhi"/>
    <s v="Ele"/>
    <m/>
  </r>
  <r>
    <x v="440"/>
    <s v="Smartphone Case"/>
    <x v="0"/>
    <n v="451"/>
    <x v="3"/>
    <s v="2023-06-22"/>
    <x v="4"/>
    <x v="1"/>
    <n v="451"/>
    <n v="25"/>
    <s v="Delivered"/>
    <s v="Low"/>
    <s v="Normal Order"/>
    <s v="Lifestyle-Delhi"/>
    <s v="Lif"/>
    <m/>
  </r>
  <r>
    <x v="441"/>
    <s v="USB Cable"/>
    <x v="3"/>
    <n v="2145"/>
    <x v="0"/>
    <s v="2023-09-15"/>
    <x v="0"/>
    <x v="3"/>
    <n v="8580"/>
    <n v="63"/>
    <s v="Delivered"/>
    <s v="Medium"/>
    <s v="Bulk Order"/>
    <s v="Accessories-Chennai"/>
    <s v="Acc"/>
    <m/>
  </r>
  <r>
    <x v="442"/>
    <s v="Water Bottle"/>
    <x v="2"/>
    <n v="3139"/>
    <x v="0"/>
    <s v="2023-07-21"/>
    <x v="0"/>
    <x v="1"/>
    <n v="12556"/>
    <n v="54"/>
    <s v="Delivered"/>
    <s v="Medium"/>
    <s v="Bulk Order"/>
    <s v="Home-Chennai"/>
    <s v="Hom"/>
    <m/>
  </r>
  <r>
    <x v="443"/>
    <s v="Fitness Band"/>
    <x v="3"/>
    <n v="3983"/>
    <x v="0"/>
    <s v="2023-08-29"/>
    <x v="1"/>
    <x v="0"/>
    <n v="15932"/>
    <n v="39"/>
    <s v="Delivered"/>
    <s v="Medium"/>
    <s v="Bulk Order"/>
    <s v="Accessories-Kolkata"/>
    <s v="Acc"/>
    <m/>
  </r>
  <r>
    <x v="444"/>
    <s v="Backpack"/>
    <x v="4"/>
    <n v="2638"/>
    <x v="2"/>
    <s v="2023-09-03"/>
    <x v="1"/>
    <x v="0"/>
    <n v="5276"/>
    <n v="56"/>
    <s v="Delivered"/>
    <s v="Medium"/>
    <s v="Normal Order"/>
    <s v="Electronics-Kolkata"/>
    <s v="Ele"/>
    <m/>
  </r>
  <r>
    <x v="445"/>
    <s v="Wireless Earbuds"/>
    <x v="3"/>
    <n v="683"/>
    <x v="1"/>
    <s v="2023-08-31"/>
    <x v="3"/>
    <x v="1"/>
    <n v="2049"/>
    <n v="77"/>
    <s v="Pending"/>
    <s v="High"/>
    <s v="Bulk Order"/>
    <s v="Accessories-Mumbai"/>
    <s v="Acc"/>
    <m/>
  </r>
  <r>
    <x v="446"/>
    <s v="Coffee Mug"/>
    <x v="0"/>
    <n v="1624"/>
    <x v="3"/>
    <s v="2023-08-27"/>
    <x v="4"/>
    <x v="3"/>
    <n v="1624"/>
    <n v="31"/>
    <s v="Delivered"/>
    <s v="Medium"/>
    <s v="Normal Order"/>
    <s v="Lifestyle-Delhi"/>
    <s v="Lif"/>
    <m/>
  </r>
  <r>
    <x v="447"/>
    <s v="Backpack"/>
    <x v="0"/>
    <n v="2990"/>
    <x v="3"/>
    <s v="2023-07-22"/>
    <x v="2"/>
    <x v="0"/>
    <n v="2990"/>
    <n v="28"/>
    <s v="Delivered"/>
    <s v="Low"/>
    <s v="Normal Order"/>
    <s v="Lifestyle-Hyderabad"/>
    <s v="Lif"/>
    <m/>
  </r>
  <r>
    <x v="448"/>
    <s v="Bluetooth Speaker"/>
    <x v="4"/>
    <n v="774"/>
    <x v="2"/>
    <s v="2023-07-22"/>
    <x v="5"/>
    <x v="1"/>
    <n v="1548"/>
    <n v="96"/>
    <s v="Delivered"/>
    <s v="Medium"/>
    <s v="Normal Order"/>
    <s v="Electronics-Bangalore"/>
    <s v="Ele"/>
    <m/>
  </r>
  <r>
    <x v="449"/>
    <s v="Fitness Band"/>
    <x v="4"/>
    <n v="4213"/>
    <x v="0"/>
    <s v="2023-10-19"/>
    <x v="1"/>
    <x v="0"/>
    <n v="16852"/>
    <n v="21"/>
    <s v="Pending"/>
    <s v="Medium"/>
    <s v="Bulk Order"/>
    <s v="Electronics-Kolkata"/>
    <s v="Ele"/>
    <m/>
  </r>
  <r>
    <x v="450"/>
    <s v="Desk Organizer"/>
    <x v="4"/>
    <n v="3560"/>
    <x v="0"/>
    <s v="2023-04-04"/>
    <x v="0"/>
    <x v="2"/>
    <n v="14240"/>
    <n v="79"/>
    <s v="Delivered"/>
    <s v="High"/>
    <s v="Bulk Order"/>
    <s v="Electronics-Chennai"/>
    <s v="Ele"/>
    <m/>
  </r>
  <r>
    <x v="451"/>
    <s v="Water Bottle"/>
    <x v="4"/>
    <n v="2463"/>
    <x v="1"/>
    <s v="2023-05-25"/>
    <x v="1"/>
    <x v="3"/>
    <n v="7389"/>
    <n v="51"/>
    <s v="Pending"/>
    <s v="Low"/>
    <s v="Bulk Order"/>
    <s v="Electronics-Kolkata"/>
    <s v="Ele"/>
    <m/>
  </r>
  <r>
    <x v="452"/>
    <s v="Fitness Band"/>
    <x v="4"/>
    <n v="3294"/>
    <x v="0"/>
    <s v="2023-10-14"/>
    <x v="0"/>
    <x v="0"/>
    <n v="13176"/>
    <n v="87"/>
    <s v="Delivered"/>
    <s v="Low"/>
    <s v="Bulk Order"/>
    <s v="Electronics-Chennai"/>
    <s v="Ele"/>
    <m/>
  </r>
  <r>
    <x v="453"/>
    <s v="Power Bank"/>
    <x v="1"/>
    <n v="2599"/>
    <x v="3"/>
    <s v="2023-02-28"/>
    <x v="1"/>
    <x v="1"/>
    <n v="2599"/>
    <n v="28"/>
    <s v="Delivered"/>
    <s v="Low"/>
    <s v="Normal Order"/>
    <s v="Fitness-Kolkata"/>
    <s v="Fit"/>
    <m/>
  </r>
  <r>
    <x v="454"/>
    <s v="Power Bank"/>
    <x v="3"/>
    <n v="1742"/>
    <x v="3"/>
    <s v="2023-03-30"/>
    <x v="1"/>
    <x v="1"/>
    <n v="1742"/>
    <n v="40"/>
    <s v="Delivered"/>
    <s v="Low"/>
    <s v="Normal Order"/>
    <s v="Accessories-Kolkata"/>
    <s v="Acc"/>
    <m/>
  </r>
  <r>
    <x v="455"/>
    <s v="USB Cable"/>
    <x v="1"/>
    <n v="1624"/>
    <x v="0"/>
    <s v="2023-04-26"/>
    <x v="4"/>
    <x v="2"/>
    <n v="6496"/>
    <n v="73"/>
    <s v="Delivered"/>
    <s v="High"/>
    <s v="Bulk Order"/>
    <s v="Fitness-Delhi"/>
    <s v="Fit"/>
    <m/>
  </r>
  <r>
    <x v="456"/>
    <s v="Bluetooth Speaker"/>
    <x v="1"/>
    <n v="3029"/>
    <x v="3"/>
    <s v="2023-04-10"/>
    <x v="2"/>
    <x v="2"/>
    <n v="3029"/>
    <n v="40"/>
    <s v="Pending"/>
    <s v="Low"/>
    <s v="Normal Order"/>
    <s v="Fitness-Hyderabad"/>
    <s v="Fit"/>
    <m/>
  </r>
  <r>
    <x v="457"/>
    <s v="Smartphone Case"/>
    <x v="0"/>
    <n v="2194"/>
    <x v="3"/>
    <s v="2023-10-09"/>
    <x v="3"/>
    <x v="2"/>
    <n v="2194"/>
    <n v="50"/>
    <s v="Delivered"/>
    <s v="Medium"/>
    <s v="Normal Order"/>
    <s v="Lifestyle-Mumbai"/>
    <s v="Lif"/>
    <m/>
  </r>
  <r>
    <x v="458"/>
    <s v="Laptop Stand"/>
    <x v="0"/>
    <n v="4814"/>
    <x v="3"/>
    <s v="2023-12-08"/>
    <x v="5"/>
    <x v="1"/>
    <n v="4814"/>
    <n v="56"/>
    <s v="Delivered"/>
    <s v="High"/>
    <s v="Normal Order"/>
    <s v="Lifestyle-Bangalore"/>
    <s v="Lif"/>
    <m/>
  </r>
  <r>
    <x v="459"/>
    <s v="Desk Organizer"/>
    <x v="0"/>
    <n v="2161"/>
    <x v="3"/>
    <s v="2023-09-07"/>
    <x v="2"/>
    <x v="1"/>
    <n v="2161"/>
    <n v="25"/>
    <s v="Delivered"/>
    <s v="Medium"/>
    <s v="Normal Order"/>
    <s v="Lifestyle-Hyderabad"/>
    <s v="Lif"/>
    <m/>
  </r>
  <r>
    <x v="460"/>
    <s v="Power Bank"/>
    <x v="0"/>
    <n v="920"/>
    <x v="3"/>
    <s v="2023-02-06"/>
    <x v="5"/>
    <x v="2"/>
    <n v="920"/>
    <n v="35"/>
    <s v="Pending"/>
    <s v="Medium"/>
    <s v="Normal Order"/>
    <s v="Lifestyle-Bangalore"/>
    <s v="Lif"/>
    <m/>
  </r>
  <r>
    <x v="461"/>
    <s v="Wireless Earbuds"/>
    <x v="2"/>
    <n v="2376"/>
    <x v="3"/>
    <s v="2023-06-29"/>
    <x v="0"/>
    <x v="2"/>
    <n v="2376"/>
    <n v="31"/>
    <s v="Pending"/>
    <s v="Low"/>
    <s v="Normal Order"/>
    <s v="Home-Chennai"/>
    <s v="Hom"/>
    <m/>
  </r>
  <r>
    <x v="462"/>
    <s v="Coffee Mug"/>
    <x v="3"/>
    <n v="4124"/>
    <x v="0"/>
    <s v="2023-05-17"/>
    <x v="4"/>
    <x v="1"/>
    <n v="16496"/>
    <n v="40"/>
    <s v="Delivered"/>
    <s v="Low"/>
    <s v="Bulk Order"/>
    <s v="Accessories-Delhi"/>
    <s v="Acc"/>
    <m/>
  </r>
  <r>
    <x v="463"/>
    <s v="Smartphone Case"/>
    <x v="4"/>
    <n v="3033"/>
    <x v="1"/>
    <s v="2023-11-24"/>
    <x v="5"/>
    <x v="3"/>
    <n v="9099"/>
    <n v="84"/>
    <s v="Delivered"/>
    <s v="Medium"/>
    <s v="Bulk Order"/>
    <s v="Electronics-Bangalore"/>
    <s v="Ele"/>
    <m/>
  </r>
  <r>
    <x v="464"/>
    <s v="Laptop Stand"/>
    <x v="0"/>
    <n v="3553"/>
    <x v="0"/>
    <s v="2023-08-12"/>
    <x v="0"/>
    <x v="1"/>
    <n v="14212"/>
    <n v="33"/>
    <s v="Delivered"/>
    <s v="Medium"/>
    <s v="Bulk Order"/>
    <s v="Lifestyle-Chennai"/>
    <s v="Lif"/>
    <m/>
  </r>
  <r>
    <x v="465"/>
    <s v="Bluetooth Speaker"/>
    <x v="4"/>
    <n v="4904"/>
    <x v="3"/>
    <s v="2023-02-11"/>
    <x v="5"/>
    <x v="1"/>
    <n v="4904"/>
    <n v="70"/>
    <s v="Delivered"/>
    <s v="High"/>
    <s v="Normal Order"/>
    <s v="Electronics-Bangalore"/>
    <s v="Ele"/>
    <m/>
  </r>
  <r>
    <x v="466"/>
    <s v="LED Bulb"/>
    <x v="1"/>
    <n v="3571"/>
    <x v="2"/>
    <s v="2023-11-14"/>
    <x v="3"/>
    <x v="0"/>
    <n v="7142"/>
    <n v="25"/>
    <s v="Delivered"/>
    <s v="High"/>
    <s v="Normal Order"/>
    <s v="Fitness-Mumbai"/>
    <s v="Fit"/>
    <m/>
  </r>
  <r>
    <x v="467"/>
    <s v="LED Bulb"/>
    <x v="2"/>
    <n v="3061"/>
    <x v="3"/>
    <s v="2023-11-16"/>
    <x v="3"/>
    <x v="0"/>
    <n v="3061"/>
    <n v="51"/>
    <s v="Delivered"/>
    <s v="High"/>
    <s v="Normal Order"/>
    <s v="Home-Mumbai"/>
    <s v="Hom"/>
    <m/>
  </r>
  <r>
    <x v="468"/>
    <s v="Power Bank"/>
    <x v="4"/>
    <n v="1139"/>
    <x v="1"/>
    <s v="2023-07-10"/>
    <x v="1"/>
    <x v="1"/>
    <n v="3417"/>
    <n v="76"/>
    <s v="Delivered"/>
    <s v="Medium"/>
    <s v="Bulk Order"/>
    <s v="Electronics-Kolkata"/>
    <s v="Ele"/>
    <m/>
  </r>
  <r>
    <x v="469"/>
    <s v="Fitness Band"/>
    <x v="3"/>
    <n v="3250"/>
    <x v="3"/>
    <s v="2023-01-27"/>
    <x v="5"/>
    <x v="1"/>
    <n v="3250"/>
    <n v="41"/>
    <s v="Delivered"/>
    <s v="High"/>
    <s v="Normal Order"/>
    <s v="Accessories-Bangalore"/>
    <s v="Acc"/>
    <m/>
  </r>
  <r>
    <x v="470"/>
    <s v="Laptop Stand"/>
    <x v="2"/>
    <n v="734"/>
    <x v="1"/>
    <s v="2023-04-14"/>
    <x v="3"/>
    <x v="3"/>
    <n v="2202"/>
    <n v="96"/>
    <s v="Delivered"/>
    <s v="Medium"/>
    <s v="Bulk Order"/>
    <s v="Home-Mumbai"/>
    <s v="Hom"/>
    <m/>
  </r>
  <r>
    <x v="471"/>
    <s v="Fitness Band"/>
    <x v="0"/>
    <n v="4576"/>
    <x v="0"/>
    <s v="2023-06-07"/>
    <x v="3"/>
    <x v="3"/>
    <n v="18304"/>
    <n v="75"/>
    <s v="Delivered"/>
    <s v="Medium"/>
    <s v="Bulk Order"/>
    <s v="Lifestyle-Mumbai"/>
    <s v="Lif"/>
    <m/>
  </r>
  <r>
    <x v="472"/>
    <s v="Power Bank"/>
    <x v="3"/>
    <n v="2588"/>
    <x v="1"/>
    <s v="2023-02-21"/>
    <x v="5"/>
    <x v="2"/>
    <n v="7764"/>
    <n v="96"/>
    <s v="Delivered"/>
    <s v="Medium"/>
    <s v="Bulk Order"/>
    <s v="Accessories-Bangalore"/>
    <s v="Acc"/>
    <m/>
  </r>
  <r>
    <x v="473"/>
    <s v="Fitness Band"/>
    <x v="2"/>
    <n v="3690"/>
    <x v="1"/>
    <s v="2023-05-06"/>
    <x v="0"/>
    <x v="3"/>
    <n v="11070"/>
    <n v="59"/>
    <s v="Pending"/>
    <s v="Medium"/>
    <s v="Bulk Order"/>
    <s v="Home-Chennai"/>
    <s v="Hom"/>
    <m/>
  </r>
  <r>
    <x v="474"/>
    <s v="Backpack"/>
    <x v="0"/>
    <n v="3498"/>
    <x v="0"/>
    <s v="2023-07-31"/>
    <x v="0"/>
    <x v="1"/>
    <n v="13992"/>
    <n v="54"/>
    <s v="Delivered"/>
    <s v="Medium"/>
    <s v="Bulk Order"/>
    <s v="Lifestyle-Chennai"/>
    <s v="Lif"/>
    <m/>
  </r>
  <r>
    <x v="475"/>
    <s v="USB Cable"/>
    <x v="0"/>
    <n v="2439"/>
    <x v="3"/>
    <s v="2023-09-10"/>
    <x v="1"/>
    <x v="0"/>
    <n v="2439"/>
    <n v="74"/>
    <s v="Pending"/>
    <s v="Medium"/>
    <s v="Normal Order"/>
    <s v="Lifestyle-Kolkata"/>
    <s v="Lif"/>
    <m/>
  </r>
  <r>
    <x v="476"/>
    <s v="Laptop Stand"/>
    <x v="3"/>
    <n v="322"/>
    <x v="2"/>
    <s v="2023-01-29"/>
    <x v="2"/>
    <x v="3"/>
    <n v="644"/>
    <n v="42"/>
    <s v="Delivered"/>
    <s v="Medium"/>
    <s v="Normal Order"/>
    <s v="Accessories-Hyderabad"/>
    <s v="Acc"/>
    <m/>
  </r>
  <r>
    <x v="477"/>
    <s v="USB Cable"/>
    <x v="1"/>
    <n v="3464"/>
    <x v="0"/>
    <s v="2023-02-09"/>
    <x v="1"/>
    <x v="1"/>
    <n v="13856"/>
    <n v="29"/>
    <s v="Pending"/>
    <s v="Medium"/>
    <s v="Bulk Order"/>
    <s v="Fitness-Kolkata"/>
    <s v="Fit"/>
    <m/>
  </r>
  <r>
    <x v="478"/>
    <s v="Fitness Band"/>
    <x v="1"/>
    <n v="3170"/>
    <x v="3"/>
    <s v="2023-10-30"/>
    <x v="3"/>
    <x v="2"/>
    <n v="3170"/>
    <n v="63"/>
    <s v="Delivered"/>
    <s v="High"/>
    <s v="Normal Order"/>
    <s v="Fitness-Mumbai"/>
    <s v="Fit"/>
    <m/>
  </r>
  <r>
    <x v="479"/>
    <s v="Backpack"/>
    <x v="3"/>
    <n v="1605"/>
    <x v="2"/>
    <s v="2023-04-25"/>
    <x v="0"/>
    <x v="1"/>
    <n v="3210"/>
    <n v="35"/>
    <s v="Cancelled"/>
    <s v="Medium"/>
    <s v="Normal Order"/>
    <s v="Accessories-Chennai"/>
    <s v="Acc"/>
    <m/>
  </r>
  <r>
    <x v="480"/>
    <s v="Smartphone Case"/>
    <x v="4"/>
    <n v="4123"/>
    <x v="2"/>
    <s v="2023-03-31"/>
    <x v="1"/>
    <x v="2"/>
    <n v="8246"/>
    <n v="55"/>
    <s v="Delivered"/>
    <s v="High"/>
    <s v="Normal Order"/>
    <s v="Electronics-Kolkata"/>
    <s v="Ele"/>
    <m/>
  </r>
  <r>
    <x v="481"/>
    <s v="Bluetooth Speaker"/>
    <x v="1"/>
    <n v="269"/>
    <x v="3"/>
    <s v="2023-12-08"/>
    <x v="2"/>
    <x v="3"/>
    <n v="269"/>
    <n v="63"/>
    <s v="Delivered"/>
    <s v="Medium"/>
    <s v="Normal Order"/>
    <s v="Fitness-Hyderabad"/>
    <s v="Fit"/>
    <m/>
  </r>
  <r>
    <x v="482"/>
    <s v="Wireless Earbuds"/>
    <x v="2"/>
    <n v="3007"/>
    <x v="1"/>
    <s v="2023-02-09"/>
    <x v="1"/>
    <x v="3"/>
    <n v="9021"/>
    <n v="58"/>
    <s v="Delivered"/>
    <s v="High"/>
    <s v="Bulk Order"/>
    <s v="Home-Kolkata"/>
    <s v="Hom"/>
    <m/>
  </r>
  <r>
    <x v="483"/>
    <s v="USB Cable"/>
    <x v="1"/>
    <n v="4255"/>
    <x v="2"/>
    <s v="2023-07-31"/>
    <x v="3"/>
    <x v="2"/>
    <n v="8510"/>
    <n v="60"/>
    <s v="Delivered"/>
    <s v="Medium"/>
    <s v="Normal Order"/>
    <s v="Fitness-Mumbai"/>
    <s v="Fit"/>
    <m/>
  </r>
  <r>
    <x v="484"/>
    <s v="Water Bottle"/>
    <x v="2"/>
    <n v="4960"/>
    <x v="3"/>
    <s v="2023-03-13"/>
    <x v="1"/>
    <x v="1"/>
    <n v="4960"/>
    <n v="50"/>
    <s v="Delivered"/>
    <s v="Medium"/>
    <s v="Normal Order"/>
    <s v="Home-Kolkata"/>
    <s v="Hom"/>
    <m/>
  </r>
  <r>
    <x v="485"/>
    <s v="Coffee Mug"/>
    <x v="0"/>
    <n v="4319"/>
    <x v="3"/>
    <s v="2023-04-13"/>
    <x v="1"/>
    <x v="2"/>
    <n v="4319"/>
    <n v="83"/>
    <s v="Cancelled"/>
    <s v="Medium"/>
    <s v="Normal Order"/>
    <s v="Lifestyle-Kolkata"/>
    <s v="Lif"/>
    <m/>
  </r>
  <r>
    <x v="486"/>
    <s v="Water Bottle"/>
    <x v="1"/>
    <n v="3778"/>
    <x v="1"/>
    <s v="2023-02-04"/>
    <x v="1"/>
    <x v="1"/>
    <n v="11334"/>
    <n v="69"/>
    <s v="Delivered"/>
    <s v="Low"/>
    <s v="Bulk Order"/>
    <s v="Fitness-Kolkata"/>
    <s v="Fit"/>
    <m/>
  </r>
  <r>
    <x v="487"/>
    <s v="Coffee Mug"/>
    <x v="2"/>
    <n v="2190"/>
    <x v="3"/>
    <s v="2023-01-07"/>
    <x v="1"/>
    <x v="2"/>
    <n v="2190"/>
    <n v="91"/>
    <s v="Delivered"/>
    <s v="Low"/>
    <s v="Normal Order"/>
    <s v="Home-Kolkata"/>
    <s v="Hom"/>
    <m/>
  </r>
  <r>
    <x v="488"/>
    <s v="Desk Organizer"/>
    <x v="2"/>
    <n v="1066"/>
    <x v="1"/>
    <s v="2023-09-03"/>
    <x v="2"/>
    <x v="2"/>
    <n v="3198"/>
    <n v="40"/>
    <s v="Delivered"/>
    <s v="Medium"/>
    <s v="Bulk Order"/>
    <s v="Home-Hyderabad"/>
    <s v="Hom"/>
    <m/>
  </r>
  <r>
    <x v="489"/>
    <s v="Backpack"/>
    <x v="1"/>
    <n v="3577"/>
    <x v="0"/>
    <s v="2023-10-16"/>
    <x v="2"/>
    <x v="2"/>
    <n v="14308"/>
    <n v="75"/>
    <s v="Delivered"/>
    <s v="Low"/>
    <s v="Bulk Order"/>
    <s v="Fitness-Hyderabad"/>
    <s v="Fit"/>
    <m/>
  </r>
  <r>
    <x v="490"/>
    <s v="Fitness Band"/>
    <x v="4"/>
    <n v="4784"/>
    <x v="3"/>
    <s v="2023-11-20"/>
    <x v="5"/>
    <x v="2"/>
    <n v="4784"/>
    <n v="34"/>
    <s v="Delivered"/>
    <s v="High"/>
    <s v="Normal Order"/>
    <s v="Electronics-Bangalore"/>
    <s v="Ele"/>
    <m/>
  </r>
  <r>
    <x v="491"/>
    <s v="Coffee Mug"/>
    <x v="1"/>
    <n v="351"/>
    <x v="3"/>
    <s v="2023-11-08"/>
    <x v="4"/>
    <x v="0"/>
    <n v="351"/>
    <n v="60"/>
    <s v="Pending"/>
    <s v="Medium"/>
    <s v="Normal Order"/>
    <s v="Fitness-Delhi"/>
    <s v="Fit"/>
    <m/>
  </r>
  <r>
    <x v="492"/>
    <s v="Desk Organizer"/>
    <x v="3"/>
    <n v="4755"/>
    <x v="0"/>
    <s v="2023-02-15"/>
    <x v="1"/>
    <x v="2"/>
    <n v="19020"/>
    <n v="94"/>
    <s v="Delivered"/>
    <s v="High"/>
    <s v="Bulk Order"/>
    <s v="Accessories-Kolkata"/>
    <s v="Acc"/>
    <m/>
  </r>
  <r>
    <x v="493"/>
    <s v="Fitness Band"/>
    <x v="4"/>
    <n v="4336"/>
    <x v="0"/>
    <s v="2023-05-27"/>
    <x v="5"/>
    <x v="3"/>
    <n v="17344"/>
    <n v="72"/>
    <s v="Pending"/>
    <s v="Medium"/>
    <s v="Bulk Order"/>
    <s v="Electronics-Bangalore"/>
    <s v="Ele"/>
    <m/>
  </r>
  <r>
    <x v="494"/>
    <s v="Coffee Mug"/>
    <x v="2"/>
    <n v="195"/>
    <x v="1"/>
    <s v="2023-06-16"/>
    <x v="1"/>
    <x v="0"/>
    <n v="585"/>
    <n v="64"/>
    <s v="Pending"/>
    <s v="Medium"/>
    <s v="Bulk Order"/>
    <s v="Home-Kolkata"/>
    <s v="Hom"/>
    <m/>
  </r>
  <r>
    <x v="495"/>
    <s v="Coffee Mug"/>
    <x v="1"/>
    <n v="4000"/>
    <x v="2"/>
    <s v="2023-09-10"/>
    <x v="1"/>
    <x v="2"/>
    <n v="8000"/>
    <n v="71"/>
    <s v="Pending"/>
    <s v="Low"/>
    <s v="Normal Order"/>
    <s v="Fitness-Kolkata"/>
    <s v="Fit"/>
    <m/>
  </r>
  <r>
    <x v="496"/>
    <s v="Laptop Stand"/>
    <x v="2"/>
    <n v="3926"/>
    <x v="2"/>
    <s v="2023-09-08"/>
    <x v="0"/>
    <x v="3"/>
    <n v="7852"/>
    <n v="33"/>
    <s v="Delivered"/>
    <s v="Medium"/>
    <s v="Normal Order"/>
    <s v="Home-Chennai"/>
    <s v="Hom"/>
    <m/>
  </r>
  <r>
    <x v="497"/>
    <s v="Coffee Mug"/>
    <x v="0"/>
    <n v="4020"/>
    <x v="0"/>
    <s v="2023-05-20"/>
    <x v="0"/>
    <x v="0"/>
    <n v="16080"/>
    <n v="91"/>
    <s v="Delivered"/>
    <s v="High"/>
    <s v="Bulk Order"/>
    <s v="Lifestyle-Chennai"/>
    <s v="Lif"/>
    <m/>
  </r>
  <r>
    <x v="498"/>
    <s v="LED Bulb"/>
    <x v="2"/>
    <n v="3053"/>
    <x v="2"/>
    <s v="2023-11-28"/>
    <x v="5"/>
    <x v="0"/>
    <n v="6106"/>
    <n v="34"/>
    <s v="Delivered"/>
    <s v="Medium"/>
    <s v="Normal Order"/>
    <s v="Home-Bangalore"/>
    <s v="Hom"/>
    <m/>
  </r>
  <r>
    <x v="499"/>
    <s v="Fitness Band"/>
    <x v="1"/>
    <n v="4903"/>
    <x v="0"/>
    <s v="2023-12-01"/>
    <x v="1"/>
    <x v="3"/>
    <n v="19612"/>
    <n v="49"/>
    <s v="Delivered"/>
    <s v="High"/>
    <s v="Bulk Order"/>
    <s v="Fitness-Kolkata"/>
    <s v="Fit"/>
    <m/>
  </r>
  <r>
    <x v="500"/>
    <s v="Laptop Stand"/>
    <x v="4"/>
    <n v="2467"/>
    <x v="1"/>
    <s v="2023-03-26"/>
    <x v="3"/>
    <x v="1"/>
    <n v="7401"/>
    <n v="97"/>
    <s v="Delivered"/>
    <s v="Medium"/>
    <s v="Bulk Order"/>
    <s v="Electronics-Mumbai"/>
    <s v="Ele"/>
    <m/>
  </r>
  <r>
    <x v="501"/>
    <s v="Wireless Earbuds"/>
    <x v="3"/>
    <n v="2384"/>
    <x v="1"/>
    <s v="2023-03-05"/>
    <x v="0"/>
    <x v="3"/>
    <n v="7152"/>
    <n v="91"/>
    <s v="Delivered"/>
    <s v="Low"/>
    <s v="Bulk Order"/>
    <s v="Accessories-Chennai"/>
    <s v="Acc"/>
    <m/>
  </r>
  <r>
    <x v="502"/>
    <s v="Water Bottle"/>
    <x v="2"/>
    <n v="4460"/>
    <x v="3"/>
    <s v="2023-07-12"/>
    <x v="2"/>
    <x v="2"/>
    <n v="4460"/>
    <n v="39"/>
    <s v="Delivered"/>
    <s v="High"/>
    <s v="Normal Order"/>
    <s v="Home-Hyderabad"/>
    <s v="Hom"/>
    <m/>
  </r>
  <r>
    <x v="503"/>
    <s v="Wireless Earbuds"/>
    <x v="4"/>
    <n v="3774"/>
    <x v="3"/>
    <s v="2023-11-17"/>
    <x v="0"/>
    <x v="1"/>
    <n v="3774"/>
    <n v="65"/>
    <s v="Pending"/>
    <s v="Low"/>
    <s v="Normal Order"/>
    <s v="Electronics-Chennai"/>
    <s v="Ele"/>
    <m/>
  </r>
  <r>
    <x v="504"/>
    <s v="Smartphone Case"/>
    <x v="0"/>
    <n v="3881"/>
    <x v="3"/>
    <s v="2023-11-13"/>
    <x v="4"/>
    <x v="3"/>
    <n v="3881"/>
    <n v="70"/>
    <s v="Delivered"/>
    <s v="High"/>
    <s v="Normal Order"/>
    <s v="Lifestyle-Delhi"/>
    <s v="Lif"/>
    <m/>
  </r>
  <r>
    <x v="505"/>
    <s v="Fitness Band"/>
    <x v="4"/>
    <n v="4209"/>
    <x v="3"/>
    <s v="2023-03-24"/>
    <x v="3"/>
    <x v="0"/>
    <n v="4209"/>
    <n v="74"/>
    <s v="Delivered"/>
    <s v="Medium"/>
    <s v="Normal Order"/>
    <s v="Electronics-Mumbai"/>
    <s v="Ele"/>
    <m/>
  </r>
  <r>
    <x v="506"/>
    <s v="LED Bulb"/>
    <x v="2"/>
    <n v="3218"/>
    <x v="1"/>
    <s v="2023-03-11"/>
    <x v="5"/>
    <x v="2"/>
    <n v="9654"/>
    <n v="63"/>
    <s v="Delivered"/>
    <s v="Medium"/>
    <s v="Bulk Order"/>
    <s v="Home-Bangalore"/>
    <s v="Hom"/>
    <m/>
  </r>
  <r>
    <x v="507"/>
    <s v="LED Bulb"/>
    <x v="3"/>
    <n v="1977"/>
    <x v="1"/>
    <s v="2023-05-15"/>
    <x v="1"/>
    <x v="0"/>
    <n v="5931"/>
    <n v="91"/>
    <s v="Delivered"/>
    <s v="Medium"/>
    <s v="Bulk Order"/>
    <s v="Accessories-Kolkata"/>
    <s v="Acc"/>
    <m/>
  </r>
  <r>
    <x v="508"/>
    <s v="Fitness Band"/>
    <x v="3"/>
    <n v="3458"/>
    <x v="3"/>
    <s v="2023-11-25"/>
    <x v="3"/>
    <x v="1"/>
    <n v="3458"/>
    <n v="72"/>
    <s v="Delivered"/>
    <s v="High"/>
    <s v="Normal Order"/>
    <s v="Accessories-Mumbai"/>
    <s v="Acc"/>
    <m/>
  </r>
  <r>
    <x v="509"/>
    <s v="USB Cable"/>
    <x v="0"/>
    <n v="1423"/>
    <x v="1"/>
    <s v="2023-03-11"/>
    <x v="2"/>
    <x v="0"/>
    <n v="4269"/>
    <n v="54"/>
    <s v="Delivered"/>
    <s v="High"/>
    <s v="Bulk Order"/>
    <s v="Lifestyle-Hyderabad"/>
    <s v="Lif"/>
    <m/>
  </r>
  <r>
    <x v="510"/>
    <s v="Water Bottle"/>
    <x v="2"/>
    <n v="2900"/>
    <x v="1"/>
    <s v="2023-12-02"/>
    <x v="4"/>
    <x v="1"/>
    <n v="8700"/>
    <n v="97"/>
    <s v="Pending"/>
    <s v="Medium"/>
    <s v="Bulk Order"/>
    <s v="Home-Delhi"/>
    <s v="Hom"/>
    <m/>
  </r>
  <r>
    <x v="511"/>
    <s v="Water Bottle"/>
    <x v="2"/>
    <n v="4805"/>
    <x v="2"/>
    <s v="2023-05-05"/>
    <x v="0"/>
    <x v="1"/>
    <n v="9610"/>
    <n v="82"/>
    <s v="Delivered"/>
    <s v="High"/>
    <s v="Normal Order"/>
    <s v="Home-Chennai"/>
    <s v="Hom"/>
    <m/>
  </r>
  <r>
    <x v="512"/>
    <s v="Wireless Earbuds"/>
    <x v="2"/>
    <n v="1841"/>
    <x v="2"/>
    <s v="2023-01-29"/>
    <x v="0"/>
    <x v="2"/>
    <n v="3682"/>
    <n v="58"/>
    <s v="Delivered"/>
    <s v="Medium"/>
    <s v="Normal Order"/>
    <s v="Home-Chennai"/>
    <s v="Hom"/>
    <m/>
  </r>
  <r>
    <x v="513"/>
    <s v="Laptop Stand"/>
    <x v="3"/>
    <n v="4998"/>
    <x v="2"/>
    <s v="2023-08-30"/>
    <x v="4"/>
    <x v="0"/>
    <n v="9996"/>
    <n v="94"/>
    <s v="Pending"/>
    <s v="Low"/>
    <s v="Normal Order"/>
    <s v="Accessories-Delhi"/>
    <s v="Acc"/>
    <m/>
  </r>
  <r>
    <x v="514"/>
    <s v="Desk Organizer"/>
    <x v="3"/>
    <n v="1164"/>
    <x v="1"/>
    <s v="2023-09-06"/>
    <x v="0"/>
    <x v="2"/>
    <n v="3492"/>
    <n v="51"/>
    <s v="Delivered"/>
    <s v="Medium"/>
    <s v="Bulk Order"/>
    <s v="Accessories-Chennai"/>
    <s v="Acc"/>
    <m/>
  </r>
  <r>
    <x v="515"/>
    <s v="Smartphone Case"/>
    <x v="1"/>
    <n v="3476"/>
    <x v="1"/>
    <s v="2023-12-14"/>
    <x v="1"/>
    <x v="0"/>
    <n v="10428"/>
    <n v="95"/>
    <s v="Delivered"/>
    <s v="Medium"/>
    <s v="Bulk Order"/>
    <s v="Fitness-Kolkata"/>
    <s v="Fit"/>
    <m/>
  </r>
  <r>
    <x v="516"/>
    <s v="Coffee Mug"/>
    <x v="1"/>
    <n v="2076"/>
    <x v="1"/>
    <s v="2023-07-02"/>
    <x v="4"/>
    <x v="2"/>
    <n v="6228"/>
    <n v="21"/>
    <s v="Delivered"/>
    <s v="Medium"/>
    <s v="Bulk Order"/>
    <s v="Fitness-Delhi"/>
    <s v="Fit"/>
    <m/>
  </r>
  <r>
    <x v="517"/>
    <s v="Fitness Band"/>
    <x v="2"/>
    <n v="1427"/>
    <x v="3"/>
    <s v="2023-08-04"/>
    <x v="0"/>
    <x v="3"/>
    <n v="1427"/>
    <n v="27"/>
    <s v="Pending"/>
    <s v="High"/>
    <s v="Normal Order"/>
    <s v="Home-Chennai"/>
    <s v="Hom"/>
    <m/>
  </r>
  <r>
    <x v="518"/>
    <s v="USB Cable"/>
    <x v="3"/>
    <n v="2733"/>
    <x v="1"/>
    <s v="2023-07-22"/>
    <x v="1"/>
    <x v="2"/>
    <n v="8199"/>
    <n v="31"/>
    <s v="Delivered"/>
    <s v="High"/>
    <s v="Bulk Order"/>
    <s v="Accessories-Kolkata"/>
    <s v="Acc"/>
    <m/>
  </r>
  <r>
    <x v="519"/>
    <s v="USB Cable"/>
    <x v="1"/>
    <n v="4421"/>
    <x v="0"/>
    <s v="2023-06-13"/>
    <x v="2"/>
    <x v="1"/>
    <n v="17684"/>
    <n v="22"/>
    <s v="Delivered"/>
    <s v="High"/>
    <s v="Bulk Order"/>
    <s v="Fitness-Hyderabad"/>
    <s v="Fit"/>
    <m/>
  </r>
  <r>
    <x v="520"/>
    <s v="Power Bank"/>
    <x v="4"/>
    <n v="3470"/>
    <x v="2"/>
    <s v="2023-10-28"/>
    <x v="3"/>
    <x v="2"/>
    <n v="6940"/>
    <n v="42"/>
    <s v="Delivered"/>
    <s v="Low"/>
    <s v="Normal Order"/>
    <s v="Electronics-Mumbai"/>
    <s v="Ele"/>
    <m/>
  </r>
  <r>
    <x v="521"/>
    <s v="Bluetooth Speaker"/>
    <x v="1"/>
    <n v="2389"/>
    <x v="0"/>
    <s v="2023-09-11"/>
    <x v="4"/>
    <x v="0"/>
    <n v="9556"/>
    <n v="85"/>
    <s v="Delivered"/>
    <s v="Medium"/>
    <s v="Bulk Order"/>
    <s v="Fitness-Delhi"/>
    <s v="Fit"/>
    <m/>
  </r>
  <r>
    <x v="522"/>
    <s v="Bluetooth Speaker"/>
    <x v="1"/>
    <n v="2140"/>
    <x v="2"/>
    <s v="2023-05-05"/>
    <x v="2"/>
    <x v="1"/>
    <n v="4280"/>
    <n v="97"/>
    <s v="Delivered"/>
    <s v="Low"/>
    <s v="Normal Order"/>
    <s v="Fitness-Hyderabad"/>
    <s v="Fit"/>
    <m/>
  </r>
  <r>
    <x v="523"/>
    <s v="Laptop Stand"/>
    <x v="4"/>
    <n v="3449"/>
    <x v="2"/>
    <s v="2023-12-06"/>
    <x v="4"/>
    <x v="2"/>
    <n v="6898"/>
    <n v="57"/>
    <s v="Delivered"/>
    <s v="Medium"/>
    <s v="Normal Order"/>
    <s v="Electronics-Delhi"/>
    <s v="Ele"/>
    <m/>
  </r>
  <r>
    <x v="524"/>
    <s v="Coffee Mug"/>
    <x v="2"/>
    <n v="2376"/>
    <x v="1"/>
    <s v="2023-04-30"/>
    <x v="1"/>
    <x v="1"/>
    <n v="7128"/>
    <n v="96"/>
    <s v="Delivered"/>
    <s v="Medium"/>
    <s v="Bulk Order"/>
    <s v="Home-Kolkata"/>
    <s v="Hom"/>
    <m/>
  </r>
  <r>
    <x v="525"/>
    <s v="Smartphone Case"/>
    <x v="0"/>
    <n v="4693"/>
    <x v="0"/>
    <s v="2023-06-19"/>
    <x v="1"/>
    <x v="0"/>
    <n v="18772"/>
    <n v="78"/>
    <s v="Delivered"/>
    <s v="Low"/>
    <s v="Bulk Order"/>
    <s v="Lifestyle-Kolkata"/>
    <s v="Lif"/>
    <m/>
  </r>
  <r>
    <x v="526"/>
    <s v="Wireless Earbuds"/>
    <x v="2"/>
    <n v="4805"/>
    <x v="2"/>
    <s v="2023-08-23"/>
    <x v="2"/>
    <x v="0"/>
    <n v="9610"/>
    <n v="63"/>
    <s v="Pending"/>
    <s v="Low"/>
    <s v="Normal Order"/>
    <s v="Home-Hyderabad"/>
    <s v="Hom"/>
    <m/>
  </r>
  <r>
    <x v="527"/>
    <s v="Laptop Stand"/>
    <x v="4"/>
    <n v="4023"/>
    <x v="0"/>
    <s v="2023-03-01"/>
    <x v="1"/>
    <x v="1"/>
    <n v="16092"/>
    <n v="59"/>
    <s v="Cancelled"/>
    <s v="Medium"/>
    <s v="Bulk Order"/>
    <s v="Electronics-Kolkata"/>
    <s v="Ele"/>
    <m/>
  </r>
  <r>
    <x v="528"/>
    <s v="Laptop Stand"/>
    <x v="3"/>
    <n v="2108"/>
    <x v="1"/>
    <s v="2023-02-08"/>
    <x v="1"/>
    <x v="0"/>
    <n v="6324"/>
    <n v="90"/>
    <s v="Cancelled"/>
    <s v="Low"/>
    <s v="Bulk Order"/>
    <s v="Accessories-Kolkata"/>
    <s v="Acc"/>
    <m/>
  </r>
  <r>
    <x v="529"/>
    <s v="Fitness Band"/>
    <x v="1"/>
    <n v="4943"/>
    <x v="2"/>
    <s v="2023-07-25"/>
    <x v="0"/>
    <x v="1"/>
    <n v="9886"/>
    <n v="69"/>
    <s v="Delivered"/>
    <s v="High"/>
    <s v="Normal Order"/>
    <s v="Fitness-Chennai"/>
    <s v="Fit"/>
    <m/>
  </r>
  <r>
    <x v="530"/>
    <s v="Backpack"/>
    <x v="0"/>
    <n v="2788"/>
    <x v="0"/>
    <s v="2023-05-05"/>
    <x v="5"/>
    <x v="2"/>
    <n v="11152"/>
    <n v="95"/>
    <s v="Delivered"/>
    <s v="Medium"/>
    <s v="Bulk Order"/>
    <s v="Lifestyle-Bangalore"/>
    <s v="Lif"/>
    <m/>
  </r>
  <r>
    <x v="531"/>
    <s v="LED Bulb"/>
    <x v="2"/>
    <n v="259"/>
    <x v="2"/>
    <s v="2023-01-30"/>
    <x v="0"/>
    <x v="0"/>
    <n v="518"/>
    <n v="32"/>
    <s v="Delivered"/>
    <s v="Medium"/>
    <s v="Normal Order"/>
    <s v="Home-Chennai"/>
    <s v="Hom"/>
    <m/>
  </r>
  <r>
    <x v="532"/>
    <s v="Water Bottle"/>
    <x v="1"/>
    <n v="797"/>
    <x v="3"/>
    <s v="2023-07-09"/>
    <x v="3"/>
    <x v="3"/>
    <n v="797"/>
    <n v="32"/>
    <s v="Delivered"/>
    <s v="Medium"/>
    <s v="Normal Order"/>
    <s v="Fitness-Mumbai"/>
    <s v="Fit"/>
    <m/>
  </r>
  <r>
    <x v="533"/>
    <s v="Backpack"/>
    <x v="1"/>
    <n v="2000"/>
    <x v="2"/>
    <s v="2023-11-10"/>
    <x v="2"/>
    <x v="3"/>
    <n v="4000"/>
    <n v="52"/>
    <s v="Delivered"/>
    <s v="Low"/>
    <s v="Normal Order"/>
    <s v="Fitness-Hyderabad"/>
    <s v="Fit"/>
    <m/>
  </r>
  <r>
    <x v="534"/>
    <s v="Bluetooth Speaker"/>
    <x v="3"/>
    <n v="942"/>
    <x v="3"/>
    <s v="2023-03-30"/>
    <x v="2"/>
    <x v="3"/>
    <n v="942"/>
    <n v="51"/>
    <s v="Pending"/>
    <s v="Medium"/>
    <s v="Normal Order"/>
    <s v="Accessories-Hyderabad"/>
    <s v="Acc"/>
    <m/>
  </r>
  <r>
    <x v="535"/>
    <s v="Bluetooth Speaker"/>
    <x v="4"/>
    <n v="3620"/>
    <x v="3"/>
    <s v="2023-10-10"/>
    <x v="1"/>
    <x v="0"/>
    <n v="3620"/>
    <n v="42"/>
    <s v="Delivered"/>
    <s v="Medium"/>
    <s v="Normal Order"/>
    <s v="Electronics-Kolkata"/>
    <s v="Ele"/>
    <m/>
  </r>
  <r>
    <x v="536"/>
    <s v="Coffee Mug"/>
    <x v="3"/>
    <n v="3867"/>
    <x v="0"/>
    <s v="2023-10-18"/>
    <x v="1"/>
    <x v="2"/>
    <n v="15468"/>
    <n v="52"/>
    <s v="Delivered"/>
    <s v="Medium"/>
    <s v="Bulk Order"/>
    <s v="Accessories-Kolkata"/>
    <s v="Acc"/>
    <m/>
  </r>
  <r>
    <x v="537"/>
    <s v="Bluetooth Speaker"/>
    <x v="1"/>
    <n v="4681"/>
    <x v="2"/>
    <s v="2023-12-13"/>
    <x v="2"/>
    <x v="1"/>
    <n v="9362"/>
    <n v="86"/>
    <s v="Delivered"/>
    <s v="High"/>
    <s v="Normal Order"/>
    <s v="Fitness-Hyderabad"/>
    <s v="Fit"/>
    <m/>
  </r>
  <r>
    <x v="538"/>
    <s v="Backpack"/>
    <x v="4"/>
    <n v="2518"/>
    <x v="2"/>
    <s v="2023-05-21"/>
    <x v="3"/>
    <x v="3"/>
    <n v="5036"/>
    <n v="44"/>
    <s v="Delivered"/>
    <s v="Medium"/>
    <s v="Normal Order"/>
    <s v="Electronics-Mumbai"/>
    <s v="Ele"/>
    <m/>
  </r>
  <r>
    <x v="539"/>
    <s v="Laptop Stand"/>
    <x v="1"/>
    <n v="4276"/>
    <x v="1"/>
    <s v="2023-08-31"/>
    <x v="1"/>
    <x v="0"/>
    <n v="12828"/>
    <n v="97"/>
    <s v="Delivered"/>
    <s v="High"/>
    <s v="Bulk Order"/>
    <s v="Fitness-Kolkata"/>
    <s v="Fit"/>
    <m/>
  </r>
  <r>
    <x v="540"/>
    <s v="Coffee Mug"/>
    <x v="0"/>
    <n v="2606"/>
    <x v="0"/>
    <s v="2023-12-05"/>
    <x v="4"/>
    <x v="2"/>
    <n v="10424"/>
    <n v="23"/>
    <s v="Delivered"/>
    <s v="Medium"/>
    <s v="Bulk Order"/>
    <s v="Lifestyle-Delhi"/>
    <s v="Lif"/>
    <m/>
  </r>
  <r>
    <x v="541"/>
    <s v="Bluetooth Speaker"/>
    <x v="0"/>
    <n v="2629"/>
    <x v="0"/>
    <s v="2023-06-12"/>
    <x v="4"/>
    <x v="3"/>
    <n v="10516"/>
    <n v="59"/>
    <s v="Delivered"/>
    <s v="Low"/>
    <s v="Bulk Order"/>
    <s v="Lifestyle-Delhi"/>
    <s v="Lif"/>
    <m/>
  </r>
  <r>
    <x v="542"/>
    <s v="USB Cable"/>
    <x v="1"/>
    <n v="1037"/>
    <x v="0"/>
    <s v="2023-05-12"/>
    <x v="3"/>
    <x v="0"/>
    <n v="4148"/>
    <n v="50"/>
    <s v="Delivered"/>
    <s v="High"/>
    <s v="Bulk Order"/>
    <s v="Fitness-Mumbai"/>
    <s v="Fit"/>
    <m/>
  </r>
  <r>
    <x v="543"/>
    <s v="Wireless Earbuds"/>
    <x v="2"/>
    <n v="4294"/>
    <x v="1"/>
    <s v="2023-10-25"/>
    <x v="2"/>
    <x v="1"/>
    <n v="12882"/>
    <n v="26"/>
    <s v="Pending"/>
    <s v="High"/>
    <s v="Bulk Order"/>
    <s v="Home-Hyderabad"/>
    <s v="Hom"/>
    <m/>
  </r>
  <r>
    <x v="544"/>
    <s v="Wireless Earbuds"/>
    <x v="2"/>
    <n v="4205"/>
    <x v="1"/>
    <s v="2023-01-03"/>
    <x v="2"/>
    <x v="0"/>
    <n v="12615"/>
    <n v="61"/>
    <s v="Pending"/>
    <s v="Low"/>
    <s v="Bulk Order"/>
    <s v="Home-Hyderabad"/>
    <s v="Hom"/>
    <m/>
  </r>
  <r>
    <x v="545"/>
    <s v="USB Cable"/>
    <x v="4"/>
    <n v="4068"/>
    <x v="2"/>
    <s v="2023-03-20"/>
    <x v="2"/>
    <x v="1"/>
    <n v="8136"/>
    <n v="45"/>
    <s v="Delivered"/>
    <s v="Low"/>
    <s v="Normal Order"/>
    <s v="Electronics-Hyderabad"/>
    <s v="Ele"/>
    <m/>
  </r>
  <r>
    <x v="546"/>
    <s v="Coffee Mug"/>
    <x v="4"/>
    <n v="3951"/>
    <x v="2"/>
    <s v="2023-12-22"/>
    <x v="4"/>
    <x v="0"/>
    <n v="7902"/>
    <n v="49"/>
    <s v="Pending"/>
    <s v="High"/>
    <s v="Normal Order"/>
    <s v="Electronics-Delhi"/>
    <s v="Ele"/>
    <m/>
  </r>
  <r>
    <x v="547"/>
    <s v="Water Bottle"/>
    <x v="1"/>
    <n v="2083"/>
    <x v="1"/>
    <s v="2023-02-19"/>
    <x v="0"/>
    <x v="1"/>
    <n v="6249"/>
    <n v="57"/>
    <s v="Delivered"/>
    <s v="High"/>
    <s v="Bulk Order"/>
    <s v="Fitness-Chennai"/>
    <s v="Fit"/>
    <m/>
  </r>
  <r>
    <x v="548"/>
    <s v="Coffee Mug"/>
    <x v="3"/>
    <n v="371"/>
    <x v="2"/>
    <s v="2023-01-19"/>
    <x v="2"/>
    <x v="0"/>
    <n v="742"/>
    <n v="89"/>
    <s v="Delivered"/>
    <s v="Medium"/>
    <s v="Normal Order"/>
    <s v="Accessories-Hyderabad"/>
    <s v="Acc"/>
    <m/>
  </r>
  <r>
    <x v="549"/>
    <s v="USB Cable"/>
    <x v="2"/>
    <n v="4639"/>
    <x v="1"/>
    <s v="2023-10-24"/>
    <x v="1"/>
    <x v="0"/>
    <n v="13917"/>
    <n v="31"/>
    <s v="Delivered"/>
    <s v="Medium"/>
    <s v="Bulk Order"/>
    <s v="Home-Kolkata"/>
    <s v="Hom"/>
    <m/>
  </r>
  <r>
    <x v="550"/>
    <s v="Wireless Earbuds"/>
    <x v="3"/>
    <n v="3428"/>
    <x v="1"/>
    <s v="2023-07-11"/>
    <x v="4"/>
    <x v="2"/>
    <n v="10284"/>
    <n v="49"/>
    <s v="Pending"/>
    <s v="Medium"/>
    <s v="Bulk Order"/>
    <s v="Accessories-Delhi"/>
    <s v="Acc"/>
    <m/>
  </r>
  <r>
    <x v="551"/>
    <s v="LED Bulb"/>
    <x v="4"/>
    <n v="4608"/>
    <x v="2"/>
    <s v="2023-10-24"/>
    <x v="2"/>
    <x v="1"/>
    <n v="9216"/>
    <n v="24"/>
    <s v="Delivered"/>
    <s v="Medium"/>
    <s v="Normal Order"/>
    <s v="Electronics-Hyderabad"/>
    <s v="Ele"/>
    <m/>
  </r>
  <r>
    <x v="552"/>
    <s v="Coffee Mug"/>
    <x v="2"/>
    <n v="1017"/>
    <x v="0"/>
    <s v="2023-04-16"/>
    <x v="3"/>
    <x v="1"/>
    <n v="4068"/>
    <n v="57"/>
    <s v="Cancelled"/>
    <s v="High"/>
    <s v="Bulk Order"/>
    <s v="Home-Mumbai"/>
    <s v="Hom"/>
    <m/>
  </r>
  <r>
    <x v="553"/>
    <s v="USB Cable"/>
    <x v="0"/>
    <n v="1593"/>
    <x v="0"/>
    <s v="2023-10-10"/>
    <x v="1"/>
    <x v="1"/>
    <n v="6372"/>
    <n v="72"/>
    <s v="Delivered"/>
    <s v="High"/>
    <s v="Bulk Order"/>
    <s v="Lifestyle-Kolkata"/>
    <s v="Lif"/>
    <m/>
  </r>
  <r>
    <x v="554"/>
    <s v="Fitness Band"/>
    <x v="2"/>
    <n v="1610"/>
    <x v="3"/>
    <s v="2023-07-06"/>
    <x v="0"/>
    <x v="1"/>
    <n v="1610"/>
    <n v="41"/>
    <s v="Delivered"/>
    <s v="Medium"/>
    <s v="Normal Order"/>
    <s v="Home-Chennai"/>
    <s v="Hom"/>
    <m/>
  </r>
  <r>
    <x v="555"/>
    <s v="Fitness Band"/>
    <x v="2"/>
    <n v="3873"/>
    <x v="3"/>
    <s v="2023-06-02"/>
    <x v="4"/>
    <x v="1"/>
    <n v="3873"/>
    <n v="78"/>
    <s v="Pending"/>
    <s v="Low"/>
    <s v="Normal Order"/>
    <s v="Home-Delhi"/>
    <s v="Hom"/>
    <m/>
  </r>
  <r>
    <x v="556"/>
    <s v="Power Bank"/>
    <x v="1"/>
    <n v="1335"/>
    <x v="1"/>
    <s v="2023-08-02"/>
    <x v="4"/>
    <x v="2"/>
    <n v="4005"/>
    <n v="89"/>
    <s v="Pending"/>
    <s v="Low"/>
    <s v="Bulk Order"/>
    <s v="Fitness-Delhi"/>
    <s v="Fit"/>
    <m/>
  </r>
  <r>
    <x v="557"/>
    <s v="Desk Organizer"/>
    <x v="2"/>
    <n v="1839"/>
    <x v="2"/>
    <s v="2023-07-03"/>
    <x v="3"/>
    <x v="0"/>
    <n v="3678"/>
    <n v="45"/>
    <s v="Delivered"/>
    <s v="Low"/>
    <s v="Normal Order"/>
    <s v="Home-Mumbai"/>
    <s v="Hom"/>
    <m/>
  </r>
  <r>
    <x v="558"/>
    <s v="Power Bank"/>
    <x v="4"/>
    <n v="1575"/>
    <x v="3"/>
    <s v="2023-03-15"/>
    <x v="2"/>
    <x v="1"/>
    <n v="1575"/>
    <n v="24"/>
    <s v="Delivered"/>
    <s v="High"/>
    <s v="Normal Order"/>
    <s v="Electronics-Hyderabad"/>
    <s v="Ele"/>
    <m/>
  </r>
  <r>
    <x v="559"/>
    <s v="Desk Organizer"/>
    <x v="4"/>
    <n v="4489"/>
    <x v="0"/>
    <s v="2023-01-25"/>
    <x v="4"/>
    <x v="2"/>
    <n v="17956"/>
    <n v="62"/>
    <s v="Cancelled"/>
    <s v="Medium"/>
    <s v="Bulk Order"/>
    <s v="Electronics-Delhi"/>
    <s v="Ele"/>
    <m/>
  </r>
  <r>
    <x v="560"/>
    <s v="Fitness Band"/>
    <x v="3"/>
    <n v="642"/>
    <x v="2"/>
    <s v="2023-09-05"/>
    <x v="5"/>
    <x v="3"/>
    <n v="1284"/>
    <n v="82"/>
    <s v="Delivered"/>
    <s v="High"/>
    <s v="Normal Order"/>
    <s v="Accessories-Bangalore"/>
    <s v="Acc"/>
    <m/>
  </r>
  <r>
    <x v="561"/>
    <s v="Smartphone Case"/>
    <x v="1"/>
    <n v="774"/>
    <x v="1"/>
    <s v="2023-06-01"/>
    <x v="1"/>
    <x v="2"/>
    <n v="2322"/>
    <n v="31"/>
    <s v="Delivered"/>
    <s v="Medium"/>
    <s v="Bulk Order"/>
    <s v="Fitness-Kolkata"/>
    <s v="Fit"/>
    <m/>
  </r>
  <r>
    <x v="562"/>
    <s v="Smartphone Case"/>
    <x v="0"/>
    <n v="3935"/>
    <x v="2"/>
    <s v="2023-10-14"/>
    <x v="1"/>
    <x v="2"/>
    <n v="7870"/>
    <n v="58"/>
    <s v="Delivered"/>
    <s v="Medium"/>
    <s v="Normal Order"/>
    <s v="Lifestyle-Kolkata"/>
    <s v="Lif"/>
    <m/>
  </r>
  <r>
    <x v="563"/>
    <s v="Desk Organizer"/>
    <x v="4"/>
    <n v="2815"/>
    <x v="1"/>
    <s v="2023-09-25"/>
    <x v="2"/>
    <x v="2"/>
    <n v="8445"/>
    <n v="65"/>
    <s v="Pending"/>
    <s v="Medium"/>
    <s v="Bulk Order"/>
    <s v="Electronics-Hyderabad"/>
    <s v="Ele"/>
    <m/>
  </r>
  <r>
    <x v="564"/>
    <s v="Power Bank"/>
    <x v="3"/>
    <n v="4936"/>
    <x v="2"/>
    <s v="2023-09-13"/>
    <x v="5"/>
    <x v="1"/>
    <n v="9872"/>
    <n v="56"/>
    <s v="Pending"/>
    <s v="Medium"/>
    <s v="Normal Order"/>
    <s v="Accessories-Bangalore"/>
    <s v="Acc"/>
    <m/>
  </r>
  <r>
    <x v="565"/>
    <s v="Power Bank"/>
    <x v="2"/>
    <n v="4555"/>
    <x v="3"/>
    <s v="2023-06-11"/>
    <x v="2"/>
    <x v="3"/>
    <n v="4555"/>
    <n v="33"/>
    <s v="Delivered"/>
    <s v="Medium"/>
    <s v="Normal Order"/>
    <s v="Home-Hyderabad"/>
    <s v="Hom"/>
    <m/>
  </r>
  <r>
    <x v="566"/>
    <s v="Bluetooth Speaker"/>
    <x v="0"/>
    <n v="1196"/>
    <x v="1"/>
    <s v="2023-01-30"/>
    <x v="0"/>
    <x v="1"/>
    <n v="3588"/>
    <n v="48"/>
    <s v="Delivered"/>
    <s v="High"/>
    <s v="Bulk Order"/>
    <s v="Lifestyle-Chennai"/>
    <s v="Lif"/>
    <m/>
  </r>
  <r>
    <x v="567"/>
    <s v="Laptop Stand"/>
    <x v="0"/>
    <n v="786"/>
    <x v="3"/>
    <s v="2023-11-09"/>
    <x v="1"/>
    <x v="3"/>
    <n v="786"/>
    <n v="47"/>
    <s v="Cancelled"/>
    <s v="High"/>
    <s v="Normal Order"/>
    <s v="Lifestyle-Kolkata"/>
    <s v="Lif"/>
    <m/>
  </r>
  <r>
    <x v="568"/>
    <s v="USB Cable"/>
    <x v="1"/>
    <n v="3821"/>
    <x v="1"/>
    <s v="2023-07-16"/>
    <x v="5"/>
    <x v="0"/>
    <n v="11463"/>
    <n v="28"/>
    <s v="Delivered"/>
    <s v="Low"/>
    <s v="Bulk Order"/>
    <s v="Fitness-Bangalore"/>
    <s v="Fit"/>
    <m/>
  </r>
  <r>
    <x v="569"/>
    <s v="Desk Organizer"/>
    <x v="2"/>
    <n v="1315"/>
    <x v="2"/>
    <s v="2023-05-05"/>
    <x v="2"/>
    <x v="0"/>
    <n v="2630"/>
    <n v="73"/>
    <s v="Delivered"/>
    <s v="Low"/>
    <s v="Normal Order"/>
    <s v="Home-Hyderabad"/>
    <s v="Hom"/>
    <m/>
  </r>
  <r>
    <x v="570"/>
    <s v="LED Bulb"/>
    <x v="2"/>
    <n v="4569"/>
    <x v="2"/>
    <s v="2023-10-20"/>
    <x v="2"/>
    <x v="1"/>
    <n v="9138"/>
    <n v="40"/>
    <s v="Delivered"/>
    <s v="High"/>
    <s v="Normal Order"/>
    <s v="Home-Hyderabad"/>
    <s v="Hom"/>
    <m/>
  </r>
  <r>
    <x v="571"/>
    <s v="Desk Organizer"/>
    <x v="2"/>
    <n v="1836"/>
    <x v="1"/>
    <s v="2023-05-13"/>
    <x v="3"/>
    <x v="1"/>
    <n v="5508"/>
    <n v="21"/>
    <s v="Delivered"/>
    <s v="Low"/>
    <s v="Bulk Order"/>
    <s v="Home-Mumbai"/>
    <s v="Hom"/>
    <m/>
  </r>
  <r>
    <x v="572"/>
    <s v="Power Bank"/>
    <x v="1"/>
    <n v="3044"/>
    <x v="3"/>
    <s v="2023-03-21"/>
    <x v="3"/>
    <x v="3"/>
    <n v="3044"/>
    <n v="21"/>
    <s v="Delivered"/>
    <s v="High"/>
    <s v="Normal Order"/>
    <s v="Fitness-Mumbai"/>
    <s v="Fit"/>
    <m/>
  </r>
  <r>
    <x v="573"/>
    <s v="Backpack"/>
    <x v="0"/>
    <n v="2451"/>
    <x v="3"/>
    <s v="2023-12-01"/>
    <x v="4"/>
    <x v="3"/>
    <n v="2451"/>
    <n v="61"/>
    <s v="Delivered"/>
    <s v="High"/>
    <s v="Normal Order"/>
    <s v="Lifestyle-Delhi"/>
    <s v="Lif"/>
    <m/>
  </r>
  <r>
    <x v="574"/>
    <s v="Smartphone Case"/>
    <x v="0"/>
    <n v="3245"/>
    <x v="0"/>
    <s v="2023-05-02"/>
    <x v="1"/>
    <x v="0"/>
    <n v="12980"/>
    <n v="84"/>
    <s v="Delivered"/>
    <s v="Medium"/>
    <s v="Bulk Order"/>
    <s v="Lifestyle-Kolkata"/>
    <s v="Lif"/>
    <m/>
  </r>
  <r>
    <x v="575"/>
    <s v="Smartphone Case"/>
    <x v="4"/>
    <n v="2959"/>
    <x v="3"/>
    <s v="2023-03-20"/>
    <x v="2"/>
    <x v="0"/>
    <n v="2959"/>
    <n v="77"/>
    <s v="Delivered"/>
    <s v="High"/>
    <s v="Normal Order"/>
    <s v="Electronics-Hyderabad"/>
    <s v="Ele"/>
    <m/>
  </r>
  <r>
    <x v="576"/>
    <s v="Wireless Earbuds"/>
    <x v="4"/>
    <n v="1225"/>
    <x v="0"/>
    <s v="2023-12-11"/>
    <x v="4"/>
    <x v="0"/>
    <n v="4900"/>
    <n v="72"/>
    <s v="Delivered"/>
    <s v="Medium"/>
    <s v="Bulk Order"/>
    <s v="Electronics-Delhi"/>
    <s v="Ele"/>
    <m/>
  </r>
  <r>
    <x v="577"/>
    <s v="Laptop Stand"/>
    <x v="3"/>
    <n v="1967"/>
    <x v="0"/>
    <s v="2023-08-26"/>
    <x v="3"/>
    <x v="1"/>
    <n v="7868"/>
    <n v="95"/>
    <s v="Pending"/>
    <s v="High"/>
    <s v="Bulk Order"/>
    <s v="Accessories-Mumbai"/>
    <s v="Acc"/>
    <m/>
  </r>
  <r>
    <x v="578"/>
    <s v="Fitness Band"/>
    <x v="2"/>
    <n v="931"/>
    <x v="1"/>
    <s v="2023-11-13"/>
    <x v="5"/>
    <x v="3"/>
    <n v="2793"/>
    <n v="37"/>
    <s v="Delivered"/>
    <s v="Low"/>
    <s v="Bulk Order"/>
    <s v="Home-Bangalore"/>
    <s v="Hom"/>
    <m/>
  </r>
  <r>
    <x v="579"/>
    <s v="Laptop Stand"/>
    <x v="3"/>
    <n v="4494"/>
    <x v="3"/>
    <s v="2023-05-08"/>
    <x v="1"/>
    <x v="1"/>
    <n v="4494"/>
    <n v="63"/>
    <s v="Cancelled"/>
    <s v="Medium"/>
    <s v="Normal Order"/>
    <s v="Accessories-Kolkata"/>
    <s v="Acc"/>
    <m/>
  </r>
  <r>
    <x v="580"/>
    <s v="Backpack"/>
    <x v="2"/>
    <n v="4378"/>
    <x v="1"/>
    <s v="2023-03-11"/>
    <x v="3"/>
    <x v="1"/>
    <n v="13134"/>
    <n v="25"/>
    <s v="Pending"/>
    <s v="Medium"/>
    <s v="Bulk Order"/>
    <s v="Home-Mumbai"/>
    <s v="Hom"/>
    <m/>
  </r>
  <r>
    <x v="581"/>
    <s v="Smartphone Case"/>
    <x v="0"/>
    <n v="398"/>
    <x v="3"/>
    <s v="2023-12-16"/>
    <x v="2"/>
    <x v="3"/>
    <n v="398"/>
    <n v="51"/>
    <s v="Delivered"/>
    <s v="Low"/>
    <s v="Normal Order"/>
    <s v="Lifestyle-Hyderabad"/>
    <s v="Lif"/>
    <m/>
  </r>
  <r>
    <x v="582"/>
    <s v="Coffee Mug"/>
    <x v="3"/>
    <n v="1378"/>
    <x v="3"/>
    <s v="2023-11-05"/>
    <x v="0"/>
    <x v="1"/>
    <n v="1378"/>
    <n v="75"/>
    <s v="Pending"/>
    <s v="High"/>
    <s v="Normal Order"/>
    <s v="Accessories-Chennai"/>
    <s v="Acc"/>
    <m/>
  </r>
  <r>
    <x v="583"/>
    <s v="Laptop Stand"/>
    <x v="2"/>
    <n v="3863"/>
    <x v="0"/>
    <s v="2023-06-08"/>
    <x v="5"/>
    <x v="1"/>
    <n v="15452"/>
    <n v="31"/>
    <s v="Delivered"/>
    <s v="Medium"/>
    <s v="Bulk Order"/>
    <s v="Home-Bangalore"/>
    <s v="Hom"/>
    <m/>
  </r>
  <r>
    <x v="584"/>
    <s v="Wireless Earbuds"/>
    <x v="4"/>
    <n v="3618"/>
    <x v="0"/>
    <s v="2023-10-02"/>
    <x v="3"/>
    <x v="3"/>
    <n v="14472"/>
    <n v="88"/>
    <s v="Delivered"/>
    <s v="High"/>
    <s v="Bulk Order"/>
    <s v="Electronics-Mumbai"/>
    <s v="Ele"/>
    <m/>
  </r>
  <r>
    <x v="585"/>
    <s v="LED Bulb"/>
    <x v="0"/>
    <n v="3104"/>
    <x v="3"/>
    <s v="2023-11-13"/>
    <x v="0"/>
    <x v="2"/>
    <n v="3104"/>
    <n v="54"/>
    <s v="Delivered"/>
    <s v="Low"/>
    <s v="Normal Order"/>
    <s v="Lifestyle-Chennai"/>
    <s v="Lif"/>
    <m/>
  </r>
  <r>
    <x v="586"/>
    <s v="Backpack"/>
    <x v="0"/>
    <n v="4823"/>
    <x v="3"/>
    <s v="2023-04-16"/>
    <x v="5"/>
    <x v="2"/>
    <n v="4823"/>
    <n v="22"/>
    <s v="Delivered"/>
    <s v="Medium"/>
    <s v="Normal Order"/>
    <s v="Lifestyle-Bangalore"/>
    <s v="Lif"/>
    <m/>
  </r>
  <r>
    <x v="587"/>
    <s v="Bluetooth Speaker"/>
    <x v="2"/>
    <n v="2823"/>
    <x v="3"/>
    <s v="2023-04-20"/>
    <x v="0"/>
    <x v="1"/>
    <n v="2823"/>
    <n v="55"/>
    <s v="Pending"/>
    <s v="Medium"/>
    <s v="Normal Order"/>
    <s v="Home-Chennai"/>
    <s v="Hom"/>
    <m/>
  </r>
  <r>
    <x v="588"/>
    <s v="Bluetooth Speaker"/>
    <x v="2"/>
    <n v="891"/>
    <x v="3"/>
    <s v="2023-08-07"/>
    <x v="0"/>
    <x v="1"/>
    <n v="891"/>
    <n v="87"/>
    <s v="Pending"/>
    <s v="High"/>
    <s v="Normal Order"/>
    <s v="Home-Chennai"/>
    <s v="Hom"/>
    <m/>
  </r>
  <r>
    <x v="589"/>
    <s v="Wireless Earbuds"/>
    <x v="2"/>
    <n v="4540"/>
    <x v="3"/>
    <s v="2023-07-19"/>
    <x v="4"/>
    <x v="0"/>
    <n v="4540"/>
    <n v="48"/>
    <s v="Cancelled"/>
    <s v="High"/>
    <s v="Normal Order"/>
    <s v="Home-Delhi"/>
    <s v="Hom"/>
    <m/>
  </r>
  <r>
    <x v="590"/>
    <s v="Coffee Mug"/>
    <x v="3"/>
    <n v="827"/>
    <x v="3"/>
    <s v="2023-04-25"/>
    <x v="1"/>
    <x v="2"/>
    <n v="827"/>
    <n v="24"/>
    <s v="Cancelled"/>
    <s v="Medium"/>
    <s v="Normal Order"/>
    <s v="Accessories-Kolkata"/>
    <s v="Acc"/>
    <m/>
  </r>
  <r>
    <x v="591"/>
    <s v="Bluetooth Speaker"/>
    <x v="4"/>
    <n v="3250"/>
    <x v="2"/>
    <s v="2023-11-11"/>
    <x v="4"/>
    <x v="0"/>
    <n v="6500"/>
    <n v="64"/>
    <s v="Delivered"/>
    <s v="Low"/>
    <s v="Normal Order"/>
    <s v="Electronics-Delhi"/>
    <s v="Ele"/>
    <m/>
  </r>
  <r>
    <x v="592"/>
    <s v="Power Bank"/>
    <x v="0"/>
    <n v="4531"/>
    <x v="1"/>
    <s v="2023-08-05"/>
    <x v="5"/>
    <x v="1"/>
    <n v="13593"/>
    <n v="61"/>
    <s v="Delivered"/>
    <s v="High"/>
    <s v="Bulk Order"/>
    <s v="Lifestyle-Bangalore"/>
    <s v="Lif"/>
    <m/>
  </r>
  <r>
    <x v="593"/>
    <s v="Fitness Band"/>
    <x v="2"/>
    <n v="4328"/>
    <x v="1"/>
    <s v="2023-06-18"/>
    <x v="4"/>
    <x v="2"/>
    <n v="12984"/>
    <n v="54"/>
    <s v="Delivered"/>
    <s v="Low"/>
    <s v="Bulk Order"/>
    <s v="Home-Delhi"/>
    <s v="Hom"/>
    <m/>
  </r>
  <r>
    <x v="594"/>
    <s v="Smartphone Case"/>
    <x v="2"/>
    <n v="263"/>
    <x v="2"/>
    <s v="2023-12-20"/>
    <x v="4"/>
    <x v="3"/>
    <n v="526"/>
    <n v="99"/>
    <s v="Delivered"/>
    <s v="Low"/>
    <s v="Normal Order"/>
    <s v="Home-Delhi"/>
    <s v="Hom"/>
    <m/>
  </r>
  <r>
    <x v="595"/>
    <s v="Wireless Earbuds"/>
    <x v="1"/>
    <n v="4895"/>
    <x v="1"/>
    <s v="2023-10-05"/>
    <x v="0"/>
    <x v="1"/>
    <n v="14685"/>
    <n v="66"/>
    <s v="Delivered"/>
    <s v="Medium"/>
    <s v="Bulk Order"/>
    <s v="Fitness-Chennai"/>
    <s v="Fit"/>
    <m/>
  </r>
  <r>
    <x v="596"/>
    <s v="Coffee Mug"/>
    <x v="2"/>
    <n v="4452"/>
    <x v="2"/>
    <s v="2023-04-18"/>
    <x v="2"/>
    <x v="0"/>
    <n v="8904"/>
    <n v="96"/>
    <s v="Delivered"/>
    <s v="Medium"/>
    <s v="Normal Order"/>
    <s v="Home-Hyderabad"/>
    <s v="Hom"/>
    <m/>
  </r>
  <r>
    <x v="597"/>
    <s v="Wireless Earbuds"/>
    <x v="2"/>
    <n v="1084"/>
    <x v="2"/>
    <s v="2023-09-25"/>
    <x v="1"/>
    <x v="2"/>
    <n v="2168"/>
    <n v="82"/>
    <s v="Delivered"/>
    <s v="High"/>
    <s v="Normal Order"/>
    <s v="Home-Kolkata"/>
    <s v="Hom"/>
    <m/>
  </r>
  <r>
    <x v="598"/>
    <s v="Power Bank"/>
    <x v="0"/>
    <n v="1222"/>
    <x v="1"/>
    <s v="2023-01-14"/>
    <x v="5"/>
    <x v="3"/>
    <n v="3666"/>
    <n v="65"/>
    <s v="Delivered"/>
    <s v="Medium"/>
    <s v="Bulk Order"/>
    <s v="Lifestyle-Bangalore"/>
    <s v="Lif"/>
    <m/>
  </r>
  <r>
    <x v="599"/>
    <s v="Smartphone Case"/>
    <x v="3"/>
    <n v="1174"/>
    <x v="0"/>
    <s v="2023-10-29"/>
    <x v="4"/>
    <x v="2"/>
    <n v="4696"/>
    <n v="81"/>
    <s v="Delivered"/>
    <s v="Medium"/>
    <s v="Bulk Order"/>
    <s v="Accessories-Delhi"/>
    <s v="Acc"/>
    <m/>
  </r>
  <r>
    <x v="600"/>
    <s v="Desk Organizer"/>
    <x v="4"/>
    <n v="2153"/>
    <x v="1"/>
    <s v="2023-01-04"/>
    <x v="5"/>
    <x v="3"/>
    <n v="6459"/>
    <n v="82"/>
    <s v="Delivered"/>
    <s v="Low"/>
    <s v="Bulk Order"/>
    <s v="Electronics-Bangalore"/>
    <s v="Ele"/>
    <m/>
  </r>
  <r>
    <x v="601"/>
    <s v="USB Cable"/>
    <x v="3"/>
    <n v="3264"/>
    <x v="0"/>
    <s v="2023-12-20"/>
    <x v="2"/>
    <x v="0"/>
    <n v="13056"/>
    <n v="77"/>
    <s v="Delivered"/>
    <s v="Low"/>
    <s v="Bulk Order"/>
    <s v="Accessories-Hyderabad"/>
    <s v="Acc"/>
    <m/>
  </r>
  <r>
    <x v="602"/>
    <s v="Coffee Mug"/>
    <x v="0"/>
    <n v="4662"/>
    <x v="2"/>
    <s v="2023-11-07"/>
    <x v="5"/>
    <x v="0"/>
    <n v="9324"/>
    <n v="59"/>
    <s v="Delivered"/>
    <s v="Medium"/>
    <s v="Normal Order"/>
    <s v="Lifestyle-Bangalore"/>
    <s v="Lif"/>
    <m/>
  </r>
  <r>
    <x v="603"/>
    <s v="Water Bottle"/>
    <x v="1"/>
    <n v="2591"/>
    <x v="3"/>
    <s v="2023-11-01"/>
    <x v="0"/>
    <x v="3"/>
    <n v="2591"/>
    <n v="55"/>
    <s v="Pending"/>
    <s v="High"/>
    <s v="Normal Order"/>
    <s v="Fitness-Chennai"/>
    <s v="Fit"/>
    <m/>
  </r>
  <r>
    <x v="604"/>
    <s v="Water Bottle"/>
    <x v="3"/>
    <n v="4538"/>
    <x v="2"/>
    <s v="2023-04-18"/>
    <x v="4"/>
    <x v="2"/>
    <n v="9076"/>
    <n v="74"/>
    <s v="Delivered"/>
    <s v="Low"/>
    <s v="Normal Order"/>
    <s v="Accessories-Delhi"/>
    <s v="Acc"/>
    <m/>
  </r>
  <r>
    <x v="605"/>
    <s v="Laptop Stand"/>
    <x v="3"/>
    <n v="3121"/>
    <x v="1"/>
    <s v="2023-01-31"/>
    <x v="5"/>
    <x v="0"/>
    <n v="9363"/>
    <n v="20"/>
    <s v="Delivered"/>
    <s v="Medium"/>
    <s v="Bulk Order"/>
    <s v="Accessories-Bangalore"/>
    <s v="Acc"/>
    <m/>
  </r>
  <r>
    <x v="606"/>
    <s v="Backpack"/>
    <x v="4"/>
    <n v="2462"/>
    <x v="1"/>
    <s v="2023-08-28"/>
    <x v="5"/>
    <x v="0"/>
    <n v="7386"/>
    <n v="46"/>
    <s v="Pending"/>
    <s v="Medium"/>
    <s v="Bulk Order"/>
    <s v="Electronics-Bangalore"/>
    <s v="Ele"/>
    <m/>
  </r>
  <r>
    <x v="607"/>
    <s v="Smartphone Case"/>
    <x v="4"/>
    <n v="1729"/>
    <x v="0"/>
    <s v="2023-06-23"/>
    <x v="3"/>
    <x v="3"/>
    <n v="6916"/>
    <n v="56"/>
    <s v="Delivered"/>
    <s v="Low"/>
    <s v="Bulk Order"/>
    <s v="Electronics-Mumbai"/>
    <s v="Ele"/>
    <m/>
  </r>
  <r>
    <x v="608"/>
    <s v="LED Bulb"/>
    <x v="2"/>
    <n v="3857"/>
    <x v="0"/>
    <s v="2023-01-20"/>
    <x v="1"/>
    <x v="3"/>
    <n v="15428"/>
    <n v="87"/>
    <s v="Delivered"/>
    <s v="Medium"/>
    <s v="Bulk Order"/>
    <s v="Home-Kolkata"/>
    <s v="Hom"/>
    <m/>
  </r>
  <r>
    <x v="609"/>
    <s v="Wireless Earbuds"/>
    <x v="1"/>
    <n v="272"/>
    <x v="0"/>
    <s v="2023-10-22"/>
    <x v="4"/>
    <x v="2"/>
    <n v="1088"/>
    <n v="67"/>
    <s v="Pending"/>
    <s v="Medium"/>
    <s v="Bulk Order"/>
    <s v="Fitness-Delhi"/>
    <s v="Fit"/>
    <m/>
  </r>
  <r>
    <x v="610"/>
    <s v="Smartphone Case"/>
    <x v="4"/>
    <n v="3136"/>
    <x v="0"/>
    <s v="2023-09-02"/>
    <x v="4"/>
    <x v="3"/>
    <n v="12544"/>
    <n v="61"/>
    <s v="Delivered"/>
    <s v="Medium"/>
    <s v="Bulk Order"/>
    <s v="Electronics-Delhi"/>
    <s v="Ele"/>
    <m/>
  </r>
  <r>
    <x v="611"/>
    <s v="LED Bulb"/>
    <x v="0"/>
    <n v="1043"/>
    <x v="3"/>
    <s v="2023-12-09"/>
    <x v="3"/>
    <x v="0"/>
    <n v="1043"/>
    <n v="33"/>
    <s v="Delivered"/>
    <s v="Medium"/>
    <s v="Normal Order"/>
    <s v="Lifestyle-Mumbai"/>
    <s v="Lif"/>
    <m/>
  </r>
  <r>
    <x v="612"/>
    <s v="LED Bulb"/>
    <x v="4"/>
    <n v="4882"/>
    <x v="1"/>
    <s v="2023-09-26"/>
    <x v="4"/>
    <x v="1"/>
    <n v="14646"/>
    <n v="40"/>
    <s v="Delivered"/>
    <s v="High"/>
    <s v="Bulk Order"/>
    <s v="Electronics-Delhi"/>
    <s v="Ele"/>
    <m/>
  </r>
  <r>
    <x v="613"/>
    <s v="Wireless Earbuds"/>
    <x v="1"/>
    <n v="2538"/>
    <x v="1"/>
    <s v="2023-09-17"/>
    <x v="0"/>
    <x v="1"/>
    <n v="7614"/>
    <n v="47"/>
    <s v="Delivered"/>
    <s v="Medium"/>
    <s v="Bulk Order"/>
    <s v="Fitness-Chennai"/>
    <s v="Fit"/>
    <m/>
  </r>
  <r>
    <x v="614"/>
    <s v="Wireless Earbuds"/>
    <x v="0"/>
    <n v="992"/>
    <x v="2"/>
    <s v="2023-11-27"/>
    <x v="0"/>
    <x v="3"/>
    <n v="1984"/>
    <n v="26"/>
    <s v="Delivered"/>
    <s v="High"/>
    <s v="Normal Order"/>
    <s v="Lifestyle-Chennai"/>
    <s v="Lif"/>
    <m/>
  </r>
  <r>
    <x v="615"/>
    <s v="Coffee Mug"/>
    <x v="3"/>
    <n v="200"/>
    <x v="3"/>
    <s v="2023-08-27"/>
    <x v="4"/>
    <x v="1"/>
    <n v="200"/>
    <n v="70"/>
    <s v="Pending"/>
    <s v="High"/>
    <s v="Normal Order"/>
    <s v="Accessories-Delhi"/>
    <s v="Acc"/>
    <m/>
  </r>
  <r>
    <x v="616"/>
    <s v="Power Bank"/>
    <x v="3"/>
    <n v="646"/>
    <x v="0"/>
    <s v="2023-02-14"/>
    <x v="0"/>
    <x v="3"/>
    <n v="2584"/>
    <n v="23"/>
    <s v="Delivered"/>
    <s v="Medium"/>
    <s v="Bulk Order"/>
    <s v="Accessories-Chennai"/>
    <s v="Acc"/>
    <m/>
  </r>
  <r>
    <x v="617"/>
    <s v="LED Bulb"/>
    <x v="2"/>
    <n v="2523"/>
    <x v="1"/>
    <s v="2023-08-17"/>
    <x v="0"/>
    <x v="0"/>
    <n v="7569"/>
    <n v="39"/>
    <s v="Pending"/>
    <s v="High"/>
    <s v="Bulk Order"/>
    <s v="Home-Chennai"/>
    <s v="Hom"/>
    <m/>
  </r>
  <r>
    <x v="618"/>
    <s v="Desk Organizer"/>
    <x v="1"/>
    <n v="3496"/>
    <x v="1"/>
    <s v="2023-05-27"/>
    <x v="3"/>
    <x v="3"/>
    <n v="10488"/>
    <n v="22"/>
    <s v="Delivered"/>
    <s v="Medium"/>
    <s v="Bulk Order"/>
    <s v="Fitness-Mumbai"/>
    <s v="Fit"/>
    <m/>
  </r>
  <r>
    <x v="619"/>
    <s v="LED Bulb"/>
    <x v="2"/>
    <n v="4932"/>
    <x v="1"/>
    <s v="2023-07-24"/>
    <x v="4"/>
    <x v="3"/>
    <n v="14796"/>
    <n v="52"/>
    <s v="Delivered"/>
    <s v="High"/>
    <s v="Bulk Order"/>
    <s v="Home-Delhi"/>
    <s v="Hom"/>
    <m/>
  </r>
  <r>
    <x v="620"/>
    <s v="Backpack"/>
    <x v="2"/>
    <n v="4972"/>
    <x v="2"/>
    <s v="2023-07-08"/>
    <x v="5"/>
    <x v="3"/>
    <n v="9944"/>
    <n v="27"/>
    <s v="Delivered"/>
    <s v="High"/>
    <s v="Normal Order"/>
    <s v="Home-Bangalore"/>
    <s v="Hom"/>
    <m/>
  </r>
  <r>
    <x v="621"/>
    <s v="Smartphone Case"/>
    <x v="4"/>
    <n v="1943"/>
    <x v="1"/>
    <s v="2023-01-29"/>
    <x v="4"/>
    <x v="0"/>
    <n v="5829"/>
    <n v="41"/>
    <s v="Delivered"/>
    <s v="Medium"/>
    <s v="Bulk Order"/>
    <s v="Electronics-Delhi"/>
    <s v="Ele"/>
    <m/>
  </r>
  <r>
    <x v="622"/>
    <s v="Bluetooth Speaker"/>
    <x v="2"/>
    <n v="1226"/>
    <x v="3"/>
    <s v="2023-05-21"/>
    <x v="2"/>
    <x v="2"/>
    <n v="1226"/>
    <n v="35"/>
    <s v="Delivered"/>
    <s v="High"/>
    <s v="Normal Order"/>
    <s v="Home-Hyderabad"/>
    <s v="Hom"/>
    <m/>
  </r>
  <r>
    <x v="623"/>
    <s v="Power Bank"/>
    <x v="3"/>
    <n v="2306"/>
    <x v="1"/>
    <s v="2023-12-27"/>
    <x v="1"/>
    <x v="3"/>
    <n v="6918"/>
    <n v="55"/>
    <s v="Delivered"/>
    <s v="Medium"/>
    <s v="Bulk Order"/>
    <s v="Accessories-Kolkata"/>
    <s v="Acc"/>
    <m/>
  </r>
  <r>
    <x v="624"/>
    <s v="Coffee Mug"/>
    <x v="3"/>
    <n v="1924"/>
    <x v="3"/>
    <s v="2023-09-10"/>
    <x v="2"/>
    <x v="3"/>
    <n v="1924"/>
    <n v="32"/>
    <s v="Delivered"/>
    <s v="Medium"/>
    <s v="Normal Order"/>
    <s v="Accessories-Hyderabad"/>
    <s v="Acc"/>
    <m/>
  </r>
  <r>
    <x v="625"/>
    <s v="USB Cable"/>
    <x v="1"/>
    <n v="2155"/>
    <x v="0"/>
    <s v="2023-05-10"/>
    <x v="4"/>
    <x v="2"/>
    <n v="8620"/>
    <n v="96"/>
    <s v="Delivered"/>
    <s v="Medium"/>
    <s v="Bulk Order"/>
    <s v="Fitness-Delhi"/>
    <s v="Fit"/>
    <m/>
  </r>
  <r>
    <x v="626"/>
    <s v="Power Bank"/>
    <x v="1"/>
    <n v="1597"/>
    <x v="0"/>
    <s v="2023-08-07"/>
    <x v="4"/>
    <x v="1"/>
    <n v="6388"/>
    <n v="44"/>
    <s v="Delivered"/>
    <s v="Low"/>
    <s v="Bulk Order"/>
    <s v="Fitness-Delhi"/>
    <s v="Fit"/>
    <m/>
  </r>
  <r>
    <x v="627"/>
    <s v="Wireless Earbuds"/>
    <x v="3"/>
    <n v="2182"/>
    <x v="1"/>
    <s v="2023-04-20"/>
    <x v="3"/>
    <x v="3"/>
    <n v="6546"/>
    <n v="47"/>
    <s v="Cancelled"/>
    <s v="Low"/>
    <s v="Bulk Order"/>
    <s v="Accessories-Mumbai"/>
    <s v="Acc"/>
    <m/>
  </r>
  <r>
    <x v="628"/>
    <s v="Water Bottle"/>
    <x v="1"/>
    <n v="717"/>
    <x v="2"/>
    <s v="2023-04-23"/>
    <x v="0"/>
    <x v="0"/>
    <n v="1434"/>
    <n v="46"/>
    <s v="Delivered"/>
    <s v="High"/>
    <s v="Normal Order"/>
    <s v="Fitness-Chennai"/>
    <s v="Fit"/>
    <m/>
  </r>
  <r>
    <x v="629"/>
    <s v="USB Cable"/>
    <x v="4"/>
    <n v="228"/>
    <x v="3"/>
    <s v="2023-06-10"/>
    <x v="0"/>
    <x v="1"/>
    <n v="228"/>
    <n v="90"/>
    <s v="Delivered"/>
    <s v="Medium"/>
    <s v="Normal Order"/>
    <s v="Electronics-Chennai"/>
    <s v="Ele"/>
    <m/>
  </r>
  <r>
    <x v="630"/>
    <s v="LED Bulb"/>
    <x v="1"/>
    <n v="271"/>
    <x v="1"/>
    <s v="2023-04-08"/>
    <x v="3"/>
    <x v="1"/>
    <n v="813"/>
    <n v="91"/>
    <s v="Delivered"/>
    <s v="Medium"/>
    <s v="Bulk Order"/>
    <s v="Fitness-Mumbai"/>
    <s v="Fit"/>
    <m/>
  </r>
  <r>
    <x v="631"/>
    <s v="USB Cable"/>
    <x v="0"/>
    <n v="1659"/>
    <x v="1"/>
    <s v="2023-09-18"/>
    <x v="4"/>
    <x v="3"/>
    <n v="4977"/>
    <n v="63"/>
    <s v="Cancelled"/>
    <s v="High"/>
    <s v="Bulk Order"/>
    <s v="Lifestyle-Delhi"/>
    <s v="Lif"/>
    <m/>
  </r>
  <r>
    <x v="632"/>
    <s v="Smartphone Case"/>
    <x v="3"/>
    <n v="2458"/>
    <x v="3"/>
    <s v="2023-10-22"/>
    <x v="4"/>
    <x v="0"/>
    <n v="2458"/>
    <n v="96"/>
    <s v="Pending"/>
    <s v="Medium"/>
    <s v="Normal Order"/>
    <s v="Accessories-Delhi"/>
    <s v="Acc"/>
    <m/>
  </r>
  <r>
    <x v="633"/>
    <s v="Wireless Earbuds"/>
    <x v="0"/>
    <n v="4453"/>
    <x v="2"/>
    <s v="2023-08-11"/>
    <x v="2"/>
    <x v="2"/>
    <n v="8906"/>
    <n v="44"/>
    <s v="Delivered"/>
    <s v="High"/>
    <s v="Normal Order"/>
    <s v="Lifestyle-Hyderabad"/>
    <s v="Lif"/>
    <m/>
  </r>
  <r>
    <x v="634"/>
    <s v="LED Bulb"/>
    <x v="1"/>
    <n v="4328"/>
    <x v="2"/>
    <s v="2023-03-16"/>
    <x v="1"/>
    <x v="2"/>
    <n v="8656"/>
    <n v="25"/>
    <s v="Pending"/>
    <s v="Medium"/>
    <s v="Normal Order"/>
    <s v="Fitness-Kolkata"/>
    <s v="Fit"/>
    <m/>
  </r>
  <r>
    <x v="635"/>
    <s v="Fitness Band"/>
    <x v="4"/>
    <n v="1302"/>
    <x v="1"/>
    <s v="2023-04-21"/>
    <x v="5"/>
    <x v="3"/>
    <n v="3906"/>
    <n v="33"/>
    <s v="Pending"/>
    <s v="Medium"/>
    <s v="Bulk Order"/>
    <s v="Electronics-Bangalore"/>
    <s v="Ele"/>
    <m/>
  </r>
  <r>
    <x v="636"/>
    <s v="LED Bulb"/>
    <x v="0"/>
    <n v="425"/>
    <x v="0"/>
    <s v="2023-07-20"/>
    <x v="5"/>
    <x v="3"/>
    <n v="1700"/>
    <n v="82"/>
    <s v="Cancelled"/>
    <s v="Medium"/>
    <s v="Bulk Order"/>
    <s v="Lifestyle-Bangalore"/>
    <s v="Lif"/>
    <m/>
  </r>
  <r>
    <x v="637"/>
    <s v="Power Bank"/>
    <x v="0"/>
    <n v="1868"/>
    <x v="3"/>
    <s v="2023-02-22"/>
    <x v="4"/>
    <x v="2"/>
    <n v="1868"/>
    <n v="83"/>
    <s v="Delivered"/>
    <s v="Medium"/>
    <s v="Normal Order"/>
    <s v="Lifestyle-Delhi"/>
    <s v="Lif"/>
    <m/>
  </r>
  <r>
    <x v="638"/>
    <s v="Laptop Stand"/>
    <x v="4"/>
    <n v="3138"/>
    <x v="3"/>
    <s v="2023-05-25"/>
    <x v="5"/>
    <x v="2"/>
    <n v="3138"/>
    <n v="44"/>
    <s v="Delivered"/>
    <s v="Medium"/>
    <s v="Normal Order"/>
    <s v="Electronics-Bangalore"/>
    <s v="Ele"/>
    <m/>
  </r>
  <r>
    <x v="639"/>
    <s v="Backpack"/>
    <x v="2"/>
    <n v="3285"/>
    <x v="0"/>
    <s v="2023-04-09"/>
    <x v="5"/>
    <x v="3"/>
    <n v="13140"/>
    <n v="62"/>
    <s v="Delivered"/>
    <s v="Medium"/>
    <s v="Bulk Order"/>
    <s v="Home-Bangalore"/>
    <s v="Hom"/>
    <m/>
  </r>
  <r>
    <x v="640"/>
    <s v="Power Bank"/>
    <x v="2"/>
    <n v="4905"/>
    <x v="1"/>
    <s v="2023-09-17"/>
    <x v="4"/>
    <x v="3"/>
    <n v="14715"/>
    <n v="27"/>
    <s v="Delivered"/>
    <s v="Medium"/>
    <s v="Bulk Order"/>
    <s v="Home-Delhi"/>
    <s v="Hom"/>
    <m/>
  </r>
  <r>
    <x v="641"/>
    <s v="Bluetooth Speaker"/>
    <x v="1"/>
    <n v="3163"/>
    <x v="2"/>
    <s v="2023-01-18"/>
    <x v="3"/>
    <x v="0"/>
    <n v="6326"/>
    <n v="86"/>
    <s v="Pending"/>
    <s v="Medium"/>
    <s v="Normal Order"/>
    <s v="Fitness-Mumbai"/>
    <s v="Fit"/>
    <m/>
  </r>
  <r>
    <x v="642"/>
    <s v="Smartphone Case"/>
    <x v="4"/>
    <n v="2938"/>
    <x v="2"/>
    <s v="2023-12-20"/>
    <x v="3"/>
    <x v="1"/>
    <n v="5876"/>
    <n v="36"/>
    <s v="Delivered"/>
    <s v="High"/>
    <s v="Normal Order"/>
    <s v="Electronics-Mumbai"/>
    <s v="Ele"/>
    <m/>
  </r>
  <r>
    <x v="643"/>
    <s v="USB Cable"/>
    <x v="3"/>
    <n v="1923"/>
    <x v="0"/>
    <s v="2023-08-11"/>
    <x v="4"/>
    <x v="3"/>
    <n v="7692"/>
    <n v="31"/>
    <s v="Delivered"/>
    <s v="Medium"/>
    <s v="Bulk Order"/>
    <s v="Accessories-Delhi"/>
    <s v="Acc"/>
    <m/>
  </r>
  <r>
    <x v="644"/>
    <s v="Laptop Stand"/>
    <x v="1"/>
    <n v="1853"/>
    <x v="2"/>
    <s v="2023-02-02"/>
    <x v="4"/>
    <x v="0"/>
    <n v="3706"/>
    <n v="39"/>
    <s v="Delivered"/>
    <s v="Medium"/>
    <s v="Normal Order"/>
    <s v="Fitness-Delhi"/>
    <s v="Fit"/>
    <m/>
  </r>
  <r>
    <x v="645"/>
    <s v="LED Bulb"/>
    <x v="1"/>
    <n v="3876"/>
    <x v="3"/>
    <s v="2023-08-15"/>
    <x v="1"/>
    <x v="2"/>
    <n v="3876"/>
    <n v="57"/>
    <s v="Delivered"/>
    <s v="Low"/>
    <s v="Normal Order"/>
    <s v="Fitness-Kolkata"/>
    <s v="Fit"/>
    <m/>
  </r>
  <r>
    <x v="646"/>
    <s v="USB Cable"/>
    <x v="0"/>
    <n v="2501"/>
    <x v="1"/>
    <s v="2023-11-06"/>
    <x v="1"/>
    <x v="2"/>
    <n v="7503"/>
    <n v="76"/>
    <s v="Delivered"/>
    <s v="Low"/>
    <s v="Bulk Order"/>
    <s v="Lifestyle-Kolkata"/>
    <s v="Lif"/>
    <m/>
  </r>
  <r>
    <x v="647"/>
    <s v="USB Cable"/>
    <x v="4"/>
    <n v="174"/>
    <x v="0"/>
    <s v="2023-06-09"/>
    <x v="1"/>
    <x v="3"/>
    <n v="696"/>
    <n v="57"/>
    <s v="Delivered"/>
    <s v="Medium"/>
    <s v="Bulk Order"/>
    <s v="Electronics-Kolkata"/>
    <s v="Ele"/>
    <m/>
  </r>
  <r>
    <x v="648"/>
    <s v="Water Bottle"/>
    <x v="2"/>
    <n v="2896"/>
    <x v="2"/>
    <s v="2023-12-18"/>
    <x v="5"/>
    <x v="3"/>
    <n v="5792"/>
    <n v="78"/>
    <s v="Delivered"/>
    <s v="Medium"/>
    <s v="Normal Order"/>
    <s v="Home-Bangalore"/>
    <s v="Hom"/>
    <m/>
  </r>
  <r>
    <x v="649"/>
    <s v="LED Bulb"/>
    <x v="2"/>
    <n v="1875"/>
    <x v="0"/>
    <s v="2023-09-17"/>
    <x v="0"/>
    <x v="1"/>
    <n v="7500"/>
    <n v="37"/>
    <s v="Pending"/>
    <s v="Medium"/>
    <s v="Bulk Order"/>
    <s v="Home-Chennai"/>
    <s v="Hom"/>
    <m/>
  </r>
  <r>
    <x v="650"/>
    <s v="Smartphone Case"/>
    <x v="3"/>
    <n v="4163"/>
    <x v="0"/>
    <s v="2023-03-08"/>
    <x v="4"/>
    <x v="3"/>
    <n v="16652"/>
    <n v="60"/>
    <s v="Delivered"/>
    <s v="High"/>
    <s v="Bulk Order"/>
    <s v="Accessories-Delhi"/>
    <s v="Acc"/>
    <m/>
  </r>
  <r>
    <x v="651"/>
    <s v="LED Bulb"/>
    <x v="1"/>
    <n v="1248"/>
    <x v="1"/>
    <s v="2023-01-22"/>
    <x v="2"/>
    <x v="0"/>
    <n v="3744"/>
    <n v="20"/>
    <s v="Delivered"/>
    <s v="High"/>
    <s v="Bulk Order"/>
    <s v="Fitness-Hyderabad"/>
    <s v="Fit"/>
    <m/>
  </r>
  <r>
    <x v="652"/>
    <s v="Water Bottle"/>
    <x v="4"/>
    <n v="4363"/>
    <x v="2"/>
    <s v="2023-05-25"/>
    <x v="4"/>
    <x v="0"/>
    <n v="8726"/>
    <n v="59"/>
    <s v="Pending"/>
    <s v="High"/>
    <s v="Normal Order"/>
    <s v="Electronics-Delhi"/>
    <s v="Ele"/>
    <m/>
  </r>
  <r>
    <x v="653"/>
    <s v="LED Bulb"/>
    <x v="3"/>
    <n v="3230"/>
    <x v="1"/>
    <s v="2023-06-20"/>
    <x v="0"/>
    <x v="3"/>
    <n v="9690"/>
    <n v="51"/>
    <s v="Delivered"/>
    <s v="Medium"/>
    <s v="Bulk Order"/>
    <s v="Accessories-Chennai"/>
    <s v="Acc"/>
    <m/>
  </r>
  <r>
    <x v="654"/>
    <s v="USB Cable"/>
    <x v="2"/>
    <n v="4146"/>
    <x v="3"/>
    <s v="2023-07-22"/>
    <x v="1"/>
    <x v="3"/>
    <n v="4146"/>
    <n v="67"/>
    <s v="Delivered"/>
    <s v="Low"/>
    <s v="Normal Order"/>
    <s v="Home-Kolkata"/>
    <s v="Hom"/>
    <m/>
  </r>
  <r>
    <x v="655"/>
    <s v="Laptop Stand"/>
    <x v="4"/>
    <n v="4183"/>
    <x v="1"/>
    <s v="2023-04-03"/>
    <x v="5"/>
    <x v="1"/>
    <n v="12549"/>
    <n v="70"/>
    <s v="Pending"/>
    <s v="Medium"/>
    <s v="Bulk Order"/>
    <s v="Electronics-Bangalore"/>
    <s v="Ele"/>
    <m/>
  </r>
  <r>
    <x v="656"/>
    <s v="Desk Organizer"/>
    <x v="4"/>
    <n v="3591"/>
    <x v="3"/>
    <s v="2023-03-18"/>
    <x v="5"/>
    <x v="0"/>
    <n v="3591"/>
    <n v="31"/>
    <s v="Cancelled"/>
    <s v="Medium"/>
    <s v="Normal Order"/>
    <s v="Electronics-Bangalore"/>
    <s v="Ele"/>
    <m/>
  </r>
  <r>
    <x v="657"/>
    <s v="Desk Organizer"/>
    <x v="1"/>
    <n v="873"/>
    <x v="0"/>
    <s v="2023-04-07"/>
    <x v="5"/>
    <x v="1"/>
    <n v="3492"/>
    <n v="84"/>
    <s v="Pending"/>
    <s v="High"/>
    <s v="Bulk Order"/>
    <s v="Fitness-Bangalore"/>
    <s v="Fit"/>
    <m/>
  </r>
  <r>
    <x v="658"/>
    <s v="Laptop Stand"/>
    <x v="4"/>
    <n v="3863"/>
    <x v="1"/>
    <s v="2023-08-28"/>
    <x v="0"/>
    <x v="2"/>
    <n v="11589"/>
    <n v="45"/>
    <s v="Delivered"/>
    <s v="High"/>
    <s v="Bulk Order"/>
    <s v="Electronics-Chennai"/>
    <s v="Ele"/>
    <m/>
  </r>
  <r>
    <x v="659"/>
    <s v="LED Bulb"/>
    <x v="2"/>
    <n v="918"/>
    <x v="0"/>
    <s v="2023-02-26"/>
    <x v="4"/>
    <x v="0"/>
    <n v="3672"/>
    <n v="28"/>
    <s v="Pending"/>
    <s v="High"/>
    <s v="Bulk Order"/>
    <s v="Home-Delhi"/>
    <s v="Hom"/>
    <m/>
  </r>
  <r>
    <x v="660"/>
    <s v="Backpack"/>
    <x v="2"/>
    <n v="4022"/>
    <x v="3"/>
    <s v="2023-10-22"/>
    <x v="4"/>
    <x v="3"/>
    <n v="4022"/>
    <n v="40"/>
    <s v="Delivered"/>
    <s v="Medium"/>
    <s v="Normal Order"/>
    <s v="Home-Delhi"/>
    <s v="Hom"/>
    <m/>
  </r>
  <r>
    <x v="661"/>
    <s v="Bluetooth Speaker"/>
    <x v="4"/>
    <n v="1523"/>
    <x v="1"/>
    <s v="2023-07-06"/>
    <x v="1"/>
    <x v="1"/>
    <n v="4569"/>
    <n v="51"/>
    <s v="Pending"/>
    <s v="Medium"/>
    <s v="Bulk Order"/>
    <s v="Electronics-Kolkata"/>
    <s v="Ele"/>
    <m/>
  </r>
  <r>
    <x v="662"/>
    <s v="Laptop Stand"/>
    <x v="4"/>
    <n v="1798"/>
    <x v="2"/>
    <s v="2023-02-04"/>
    <x v="3"/>
    <x v="2"/>
    <n v="3596"/>
    <n v="45"/>
    <s v="Delivered"/>
    <s v="Medium"/>
    <s v="Normal Order"/>
    <s v="Electronics-Mumbai"/>
    <s v="Ele"/>
    <m/>
  </r>
  <r>
    <x v="663"/>
    <s v="Wireless Earbuds"/>
    <x v="2"/>
    <n v="375"/>
    <x v="2"/>
    <s v="2023-07-18"/>
    <x v="4"/>
    <x v="0"/>
    <n v="750"/>
    <n v="63"/>
    <s v="Delivered"/>
    <s v="High"/>
    <s v="Normal Order"/>
    <s v="Home-Delhi"/>
    <s v="Hom"/>
    <m/>
  </r>
  <r>
    <x v="664"/>
    <s v="Fitness Band"/>
    <x v="1"/>
    <n v="231"/>
    <x v="0"/>
    <s v="2023-06-18"/>
    <x v="2"/>
    <x v="3"/>
    <n v="924"/>
    <n v="25"/>
    <s v="Delivered"/>
    <s v="Medium"/>
    <s v="Bulk Order"/>
    <s v="Fitness-Hyderabad"/>
    <s v="Fit"/>
    <m/>
  </r>
  <r>
    <x v="665"/>
    <s v="Coffee Mug"/>
    <x v="2"/>
    <n v="665"/>
    <x v="0"/>
    <s v="2023-06-02"/>
    <x v="2"/>
    <x v="3"/>
    <n v="2660"/>
    <n v="69"/>
    <s v="Delivered"/>
    <s v="High"/>
    <s v="Bulk Order"/>
    <s v="Home-Hyderabad"/>
    <s v="Hom"/>
    <m/>
  </r>
  <r>
    <x v="666"/>
    <s v="Bluetooth Speaker"/>
    <x v="2"/>
    <n v="4742"/>
    <x v="1"/>
    <s v="2023-08-18"/>
    <x v="2"/>
    <x v="0"/>
    <n v="14226"/>
    <n v="85"/>
    <s v="Delivered"/>
    <s v="Medium"/>
    <s v="Bulk Order"/>
    <s v="Home-Hyderabad"/>
    <s v="Hom"/>
    <m/>
  </r>
  <r>
    <x v="667"/>
    <s v="Backpack"/>
    <x v="3"/>
    <n v="4864"/>
    <x v="2"/>
    <s v="2023-01-05"/>
    <x v="0"/>
    <x v="3"/>
    <n v="9728"/>
    <n v="47"/>
    <s v="Delivered"/>
    <s v="Medium"/>
    <s v="Normal Order"/>
    <s v="Accessories-Chennai"/>
    <s v="Acc"/>
    <m/>
  </r>
  <r>
    <x v="668"/>
    <s v="Backpack"/>
    <x v="2"/>
    <n v="1582"/>
    <x v="3"/>
    <s v="2023-05-01"/>
    <x v="2"/>
    <x v="2"/>
    <n v="1582"/>
    <n v="63"/>
    <s v="Pending"/>
    <s v="Medium"/>
    <s v="Normal Order"/>
    <s v="Home-Hyderabad"/>
    <s v="Hom"/>
    <m/>
  </r>
  <r>
    <x v="669"/>
    <s v="LED Bulb"/>
    <x v="3"/>
    <n v="618"/>
    <x v="3"/>
    <s v="2023-11-10"/>
    <x v="0"/>
    <x v="0"/>
    <n v="618"/>
    <n v="22"/>
    <s v="Delivered"/>
    <s v="High"/>
    <s v="Normal Order"/>
    <s v="Accessories-Chennai"/>
    <s v="Acc"/>
    <m/>
  </r>
  <r>
    <x v="670"/>
    <s v="Wireless Earbuds"/>
    <x v="2"/>
    <n v="982"/>
    <x v="0"/>
    <s v="2023-08-30"/>
    <x v="1"/>
    <x v="2"/>
    <n v="3928"/>
    <n v="37"/>
    <s v="Pending"/>
    <s v="High"/>
    <s v="Bulk Order"/>
    <s v="Home-Kolkata"/>
    <s v="Hom"/>
    <m/>
  </r>
  <r>
    <x v="671"/>
    <s v="Laptop Stand"/>
    <x v="4"/>
    <n v="3589"/>
    <x v="3"/>
    <s v="2023-08-22"/>
    <x v="1"/>
    <x v="0"/>
    <n v="3589"/>
    <n v="20"/>
    <s v="Delivered"/>
    <s v="Medium"/>
    <s v="Normal Order"/>
    <s v="Electronics-Kolkata"/>
    <s v="Ele"/>
    <m/>
  </r>
  <r>
    <x v="672"/>
    <s v="Fitness Band"/>
    <x v="0"/>
    <n v="3321"/>
    <x v="1"/>
    <s v="2023-11-30"/>
    <x v="0"/>
    <x v="2"/>
    <n v="9963"/>
    <n v="43"/>
    <s v="Delivered"/>
    <s v="Medium"/>
    <s v="Bulk Order"/>
    <s v="Lifestyle-Chennai"/>
    <s v="Lif"/>
    <m/>
  </r>
  <r>
    <x v="673"/>
    <s v="Power Bank"/>
    <x v="4"/>
    <n v="1825"/>
    <x v="3"/>
    <s v="2023-10-07"/>
    <x v="5"/>
    <x v="0"/>
    <n v="1825"/>
    <n v="58"/>
    <s v="Pending"/>
    <s v="Medium"/>
    <s v="Normal Order"/>
    <s v="Electronics-Bangalore"/>
    <s v="Ele"/>
    <m/>
  </r>
  <r>
    <x v="674"/>
    <s v="Backpack"/>
    <x v="2"/>
    <n v="3062"/>
    <x v="3"/>
    <s v="2023-08-30"/>
    <x v="1"/>
    <x v="0"/>
    <n v="3062"/>
    <n v="71"/>
    <s v="Delivered"/>
    <s v="High"/>
    <s v="Normal Order"/>
    <s v="Home-Kolkata"/>
    <s v="Hom"/>
    <m/>
  </r>
  <r>
    <x v="675"/>
    <s v="Fitness Band"/>
    <x v="3"/>
    <n v="385"/>
    <x v="1"/>
    <s v="2023-03-29"/>
    <x v="1"/>
    <x v="0"/>
    <n v="1155"/>
    <n v="60"/>
    <s v="Pending"/>
    <s v="Low"/>
    <s v="Bulk Order"/>
    <s v="Accessories-Kolkata"/>
    <s v="Acc"/>
    <m/>
  </r>
  <r>
    <x v="676"/>
    <s v="Water Bottle"/>
    <x v="4"/>
    <n v="4531"/>
    <x v="1"/>
    <s v="2023-06-20"/>
    <x v="1"/>
    <x v="3"/>
    <n v="13593"/>
    <n v="68"/>
    <s v="Delivered"/>
    <s v="Medium"/>
    <s v="Bulk Order"/>
    <s v="Electronics-Kolkata"/>
    <s v="Ele"/>
    <m/>
  </r>
  <r>
    <x v="677"/>
    <s v="Power Bank"/>
    <x v="2"/>
    <n v="4575"/>
    <x v="2"/>
    <s v="2023-02-07"/>
    <x v="5"/>
    <x v="1"/>
    <n v="9150"/>
    <n v="25"/>
    <s v="Delivered"/>
    <s v="Medium"/>
    <s v="Normal Order"/>
    <s v="Home-Bangalore"/>
    <s v="Hom"/>
    <m/>
  </r>
  <r>
    <x v="678"/>
    <s v="Bluetooth Speaker"/>
    <x v="0"/>
    <n v="2904"/>
    <x v="1"/>
    <s v="2023-04-07"/>
    <x v="4"/>
    <x v="3"/>
    <n v="8712"/>
    <n v="97"/>
    <s v="Pending"/>
    <s v="Medium"/>
    <s v="Bulk Order"/>
    <s v="Lifestyle-Delhi"/>
    <s v="Lif"/>
    <m/>
  </r>
  <r>
    <x v="679"/>
    <s v="Fitness Band"/>
    <x v="4"/>
    <n v="2112"/>
    <x v="3"/>
    <s v="2023-10-09"/>
    <x v="0"/>
    <x v="3"/>
    <n v="2112"/>
    <n v="42"/>
    <s v="Delivered"/>
    <s v="Low"/>
    <s v="Normal Order"/>
    <s v="Electronics-Chennai"/>
    <s v="Ele"/>
    <m/>
  </r>
  <r>
    <x v="680"/>
    <s v="LED Bulb"/>
    <x v="4"/>
    <n v="3553"/>
    <x v="0"/>
    <s v="2023-11-11"/>
    <x v="5"/>
    <x v="0"/>
    <n v="14212"/>
    <n v="34"/>
    <s v="Cancelled"/>
    <s v="High"/>
    <s v="Bulk Order"/>
    <s v="Electronics-Bangalore"/>
    <s v="Ele"/>
    <m/>
  </r>
  <r>
    <x v="681"/>
    <s v="Water Bottle"/>
    <x v="0"/>
    <n v="3818"/>
    <x v="0"/>
    <s v="2023-05-17"/>
    <x v="2"/>
    <x v="3"/>
    <n v="15272"/>
    <n v="92"/>
    <s v="Pending"/>
    <s v="Medium"/>
    <s v="Bulk Order"/>
    <s v="Lifestyle-Hyderabad"/>
    <s v="Lif"/>
    <m/>
  </r>
  <r>
    <x v="682"/>
    <s v="Smartphone Case"/>
    <x v="4"/>
    <n v="4847"/>
    <x v="1"/>
    <s v="2023-05-14"/>
    <x v="3"/>
    <x v="3"/>
    <n v="14541"/>
    <n v="46"/>
    <s v="Delivered"/>
    <s v="High"/>
    <s v="Bulk Order"/>
    <s v="Electronics-Mumbai"/>
    <s v="Ele"/>
    <m/>
  </r>
  <r>
    <x v="683"/>
    <s v="Laptop Stand"/>
    <x v="0"/>
    <n v="3141"/>
    <x v="3"/>
    <s v="2023-10-04"/>
    <x v="0"/>
    <x v="0"/>
    <n v="3141"/>
    <n v="98"/>
    <s v="Cancelled"/>
    <s v="High"/>
    <s v="Normal Order"/>
    <s v="Lifestyle-Chennai"/>
    <s v="Lif"/>
    <m/>
  </r>
  <r>
    <x v="684"/>
    <s v="Power Bank"/>
    <x v="2"/>
    <n v="1621"/>
    <x v="2"/>
    <s v="2023-07-11"/>
    <x v="1"/>
    <x v="0"/>
    <n v="3242"/>
    <n v="45"/>
    <s v="Delivered"/>
    <s v="High"/>
    <s v="Normal Order"/>
    <s v="Home-Kolkata"/>
    <s v="Hom"/>
    <m/>
  </r>
  <r>
    <x v="685"/>
    <s v="Power Bank"/>
    <x v="0"/>
    <n v="2966"/>
    <x v="3"/>
    <s v="2023-07-08"/>
    <x v="1"/>
    <x v="2"/>
    <n v="2966"/>
    <n v="20"/>
    <s v="Cancelled"/>
    <s v="Low"/>
    <s v="Normal Order"/>
    <s v="Lifestyle-Kolkata"/>
    <s v="Lif"/>
    <m/>
  </r>
  <r>
    <x v="686"/>
    <s v="Laptop Stand"/>
    <x v="0"/>
    <n v="3419"/>
    <x v="1"/>
    <s v="2023-06-29"/>
    <x v="2"/>
    <x v="2"/>
    <n v="10257"/>
    <n v="78"/>
    <s v="Cancelled"/>
    <s v="Low"/>
    <s v="Bulk Order"/>
    <s v="Lifestyle-Hyderabad"/>
    <s v="Lif"/>
    <m/>
  </r>
  <r>
    <x v="687"/>
    <s v="Water Bottle"/>
    <x v="2"/>
    <n v="2460"/>
    <x v="2"/>
    <s v="2023-03-11"/>
    <x v="3"/>
    <x v="1"/>
    <n v="4920"/>
    <n v="100"/>
    <s v="Delivered"/>
    <s v="Medium"/>
    <s v="Normal Order"/>
    <s v="Home-Mumbai"/>
    <s v="Hom"/>
    <m/>
  </r>
  <r>
    <x v="688"/>
    <s v="Water Bottle"/>
    <x v="1"/>
    <n v="2387"/>
    <x v="1"/>
    <s v="2023-03-27"/>
    <x v="2"/>
    <x v="1"/>
    <n v="7161"/>
    <n v="94"/>
    <s v="Delivered"/>
    <s v="Medium"/>
    <s v="Bulk Order"/>
    <s v="Fitness-Hyderabad"/>
    <s v="Fit"/>
    <m/>
  </r>
  <r>
    <x v="689"/>
    <s v="Smartphone Case"/>
    <x v="4"/>
    <n v="4956"/>
    <x v="0"/>
    <s v="2023-06-24"/>
    <x v="0"/>
    <x v="2"/>
    <n v="19824"/>
    <n v="26"/>
    <s v="Pending"/>
    <s v="Low"/>
    <s v="Bulk Order"/>
    <s v="Electronics-Chennai"/>
    <s v="Ele"/>
    <m/>
  </r>
  <r>
    <x v="690"/>
    <s v="Wireless Earbuds"/>
    <x v="4"/>
    <n v="3420"/>
    <x v="2"/>
    <s v="2023-10-26"/>
    <x v="0"/>
    <x v="2"/>
    <n v="6840"/>
    <n v="50"/>
    <s v="Delivered"/>
    <s v="Medium"/>
    <s v="Normal Order"/>
    <s v="Electronics-Chennai"/>
    <s v="Ele"/>
    <m/>
  </r>
  <r>
    <x v="691"/>
    <s v="LED Bulb"/>
    <x v="0"/>
    <n v="2953"/>
    <x v="0"/>
    <s v="2023-06-12"/>
    <x v="0"/>
    <x v="0"/>
    <n v="11812"/>
    <n v="48"/>
    <s v="Delivered"/>
    <s v="Medium"/>
    <s v="Bulk Order"/>
    <s v="Lifestyle-Chennai"/>
    <s v="Lif"/>
    <m/>
  </r>
  <r>
    <x v="692"/>
    <s v="Laptop Stand"/>
    <x v="1"/>
    <n v="4115"/>
    <x v="2"/>
    <s v="2023-01-15"/>
    <x v="3"/>
    <x v="3"/>
    <n v="8230"/>
    <n v="32"/>
    <s v="Cancelled"/>
    <s v="Low"/>
    <s v="Normal Order"/>
    <s v="Fitness-Mumbai"/>
    <s v="Fit"/>
    <m/>
  </r>
  <r>
    <x v="693"/>
    <s v="Backpack"/>
    <x v="2"/>
    <n v="4508"/>
    <x v="0"/>
    <s v="2023-09-19"/>
    <x v="1"/>
    <x v="1"/>
    <n v="18032"/>
    <n v="67"/>
    <s v="Delivered"/>
    <s v="Low"/>
    <s v="Bulk Order"/>
    <s v="Home-Kolkata"/>
    <s v="Hom"/>
    <m/>
  </r>
  <r>
    <x v="694"/>
    <s v="Backpack"/>
    <x v="0"/>
    <n v="4852"/>
    <x v="1"/>
    <s v="2023-09-16"/>
    <x v="1"/>
    <x v="3"/>
    <n v="14556"/>
    <n v="76"/>
    <s v="Delivered"/>
    <s v="High"/>
    <s v="Bulk Order"/>
    <s v="Lifestyle-Kolkata"/>
    <s v="Lif"/>
    <m/>
  </r>
  <r>
    <x v="695"/>
    <s v="Water Bottle"/>
    <x v="0"/>
    <n v="1139"/>
    <x v="3"/>
    <s v="2023-06-24"/>
    <x v="4"/>
    <x v="3"/>
    <n v="1139"/>
    <n v="89"/>
    <s v="Delivered"/>
    <s v="Medium"/>
    <s v="Normal Order"/>
    <s v="Lifestyle-Delhi"/>
    <s v="Lif"/>
    <m/>
  </r>
  <r>
    <x v="696"/>
    <s v="Water Bottle"/>
    <x v="1"/>
    <n v="3498"/>
    <x v="0"/>
    <s v="2023-09-08"/>
    <x v="4"/>
    <x v="0"/>
    <n v="13992"/>
    <n v="74"/>
    <s v="Cancelled"/>
    <s v="High"/>
    <s v="Bulk Order"/>
    <s v="Fitness-Delhi"/>
    <s v="Fit"/>
    <m/>
  </r>
  <r>
    <x v="697"/>
    <s v="LED Bulb"/>
    <x v="1"/>
    <n v="4107"/>
    <x v="3"/>
    <s v="2023-12-26"/>
    <x v="4"/>
    <x v="3"/>
    <n v="4107"/>
    <n v="58"/>
    <s v="Delivered"/>
    <s v="High"/>
    <s v="Normal Order"/>
    <s v="Fitness-Delhi"/>
    <s v="Fit"/>
    <m/>
  </r>
  <r>
    <x v="698"/>
    <s v="USB Cable"/>
    <x v="3"/>
    <n v="1039"/>
    <x v="2"/>
    <s v="2023-02-19"/>
    <x v="4"/>
    <x v="0"/>
    <n v="2078"/>
    <n v="20"/>
    <s v="Delivered"/>
    <s v="High"/>
    <s v="Normal Order"/>
    <s v="Accessories-Delhi"/>
    <s v="Acc"/>
    <m/>
  </r>
  <r>
    <x v="699"/>
    <s v="LED Bulb"/>
    <x v="1"/>
    <n v="1317"/>
    <x v="2"/>
    <s v="2023-12-29"/>
    <x v="4"/>
    <x v="1"/>
    <n v="2634"/>
    <n v="98"/>
    <s v="Delivered"/>
    <s v="High"/>
    <s v="Normal Order"/>
    <s v="Fitness-Delhi"/>
    <s v="Fit"/>
    <m/>
  </r>
  <r>
    <x v="700"/>
    <s v="Laptop Stand"/>
    <x v="4"/>
    <n v="4555"/>
    <x v="1"/>
    <s v="2023-12-28"/>
    <x v="5"/>
    <x v="2"/>
    <n v="13665"/>
    <n v="27"/>
    <s v="Delivered"/>
    <s v="High"/>
    <s v="Bulk Order"/>
    <s v="Electronics-Bangalore"/>
    <s v="Ele"/>
    <m/>
  </r>
  <r>
    <x v="701"/>
    <s v="Fitness Band"/>
    <x v="4"/>
    <n v="4018"/>
    <x v="3"/>
    <s v="2023-10-23"/>
    <x v="2"/>
    <x v="3"/>
    <n v="4018"/>
    <n v="34"/>
    <s v="Delivered"/>
    <s v="Low"/>
    <s v="Normal Order"/>
    <s v="Electronics-Hyderabad"/>
    <s v="Ele"/>
    <m/>
  </r>
  <r>
    <x v="702"/>
    <s v="Laptop Stand"/>
    <x v="3"/>
    <n v="3951"/>
    <x v="0"/>
    <s v="2023-11-10"/>
    <x v="1"/>
    <x v="0"/>
    <n v="15804"/>
    <n v="43"/>
    <s v="Cancelled"/>
    <s v="Medium"/>
    <s v="Bulk Order"/>
    <s v="Accessories-Kolkata"/>
    <s v="Acc"/>
    <m/>
  </r>
  <r>
    <x v="703"/>
    <s v="Power Bank"/>
    <x v="1"/>
    <n v="3872"/>
    <x v="0"/>
    <s v="2023-02-16"/>
    <x v="1"/>
    <x v="0"/>
    <n v="15488"/>
    <n v="82"/>
    <s v="Delivered"/>
    <s v="High"/>
    <s v="Bulk Order"/>
    <s v="Fitness-Kolkata"/>
    <s v="Fit"/>
    <m/>
  </r>
  <r>
    <x v="704"/>
    <s v="Backpack"/>
    <x v="4"/>
    <n v="2541"/>
    <x v="1"/>
    <s v="2023-01-14"/>
    <x v="5"/>
    <x v="0"/>
    <n v="7623"/>
    <n v="30"/>
    <s v="Pending"/>
    <s v="High"/>
    <s v="Bulk Order"/>
    <s v="Electronics-Bangalore"/>
    <s v="Ele"/>
    <m/>
  </r>
  <r>
    <x v="705"/>
    <s v="Bluetooth Speaker"/>
    <x v="4"/>
    <n v="3649"/>
    <x v="1"/>
    <s v="2023-12-06"/>
    <x v="0"/>
    <x v="1"/>
    <n v="10947"/>
    <n v="31"/>
    <s v="Delivered"/>
    <s v="Medium"/>
    <s v="Bulk Order"/>
    <s v="Electronics-Chennai"/>
    <s v="Ele"/>
    <m/>
  </r>
  <r>
    <x v="706"/>
    <s v="LED Bulb"/>
    <x v="4"/>
    <n v="1807"/>
    <x v="2"/>
    <s v="2023-06-23"/>
    <x v="2"/>
    <x v="2"/>
    <n v="3614"/>
    <n v="29"/>
    <s v="Delivered"/>
    <s v="High"/>
    <s v="Normal Order"/>
    <s v="Electronics-Hyderabad"/>
    <s v="Ele"/>
    <m/>
  </r>
  <r>
    <x v="707"/>
    <s v="Smartphone Case"/>
    <x v="3"/>
    <n v="2835"/>
    <x v="3"/>
    <s v="2023-11-03"/>
    <x v="1"/>
    <x v="0"/>
    <n v="2835"/>
    <n v="44"/>
    <s v="Delivered"/>
    <s v="Low"/>
    <s v="Normal Order"/>
    <s v="Accessories-Kolkata"/>
    <s v="Acc"/>
    <m/>
  </r>
  <r>
    <x v="708"/>
    <s v="Bluetooth Speaker"/>
    <x v="3"/>
    <n v="4843"/>
    <x v="3"/>
    <s v="2023-11-30"/>
    <x v="3"/>
    <x v="0"/>
    <n v="4843"/>
    <n v="99"/>
    <s v="Delivered"/>
    <s v="Medium"/>
    <s v="Normal Order"/>
    <s v="Accessories-Mumbai"/>
    <s v="Acc"/>
    <m/>
  </r>
  <r>
    <x v="709"/>
    <s v="Bluetooth Speaker"/>
    <x v="3"/>
    <n v="4615"/>
    <x v="0"/>
    <s v="2023-02-10"/>
    <x v="4"/>
    <x v="2"/>
    <n v="18460"/>
    <n v="52"/>
    <s v="Delivered"/>
    <s v="Medium"/>
    <s v="Bulk Order"/>
    <s v="Accessories-Delhi"/>
    <s v="Acc"/>
    <m/>
  </r>
  <r>
    <x v="710"/>
    <s v="USB Cable"/>
    <x v="1"/>
    <n v="1106"/>
    <x v="1"/>
    <s v="2023-01-31"/>
    <x v="0"/>
    <x v="0"/>
    <n v="3318"/>
    <n v="43"/>
    <s v="Delivered"/>
    <s v="Medium"/>
    <s v="Bulk Order"/>
    <s v="Fitness-Chennai"/>
    <s v="Fit"/>
    <m/>
  </r>
  <r>
    <x v="711"/>
    <s v="Desk Organizer"/>
    <x v="3"/>
    <n v="3511"/>
    <x v="1"/>
    <s v="2023-11-26"/>
    <x v="4"/>
    <x v="0"/>
    <n v="10533"/>
    <n v="94"/>
    <s v="Delivered"/>
    <s v="Medium"/>
    <s v="Bulk Order"/>
    <s v="Accessories-Delhi"/>
    <s v="Acc"/>
    <m/>
  </r>
  <r>
    <x v="712"/>
    <s v="Wireless Earbuds"/>
    <x v="4"/>
    <n v="545"/>
    <x v="1"/>
    <s v="2023-04-09"/>
    <x v="5"/>
    <x v="1"/>
    <n v="1635"/>
    <n v="66"/>
    <s v="Delivered"/>
    <s v="Medium"/>
    <s v="Bulk Order"/>
    <s v="Electronics-Bangalore"/>
    <s v="Ele"/>
    <m/>
  </r>
  <r>
    <x v="713"/>
    <s v="LED Bulb"/>
    <x v="1"/>
    <n v="1459"/>
    <x v="1"/>
    <s v="2023-05-25"/>
    <x v="1"/>
    <x v="2"/>
    <n v="4377"/>
    <n v="76"/>
    <s v="Delivered"/>
    <s v="High"/>
    <s v="Bulk Order"/>
    <s v="Fitness-Kolkata"/>
    <s v="Fit"/>
    <m/>
  </r>
  <r>
    <x v="714"/>
    <s v="USB Cable"/>
    <x v="3"/>
    <n v="3569"/>
    <x v="1"/>
    <s v="2023-08-08"/>
    <x v="4"/>
    <x v="2"/>
    <n v="10707"/>
    <n v="45"/>
    <s v="Cancelled"/>
    <s v="High"/>
    <s v="Bulk Order"/>
    <s v="Accessories-Delhi"/>
    <s v="Acc"/>
    <m/>
  </r>
  <r>
    <x v="715"/>
    <s v="Laptop Stand"/>
    <x v="3"/>
    <n v="1696"/>
    <x v="1"/>
    <s v="2023-03-20"/>
    <x v="4"/>
    <x v="3"/>
    <n v="5088"/>
    <n v="85"/>
    <s v="Delivered"/>
    <s v="Medium"/>
    <s v="Bulk Order"/>
    <s v="Accessories-Delhi"/>
    <s v="Acc"/>
    <m/>
  </r>
  <r>
    <x v="716"/>
    <s v="LED Bulb"/>
    <x v="3"/>
    <n v="826"/>
    <x v="0"/>
    <s v="2023-12-27"/>
    <x v="5"/>
    <x v="3"/>
    <n v="3304"/>
    <n v="24"/>
    <s v="Pending"/>
    <s v="Medium"/>
    <s v="Bulk Order"/>
    <s v="Accessories-Bangalore"/>
    <s v="Acc"/>
    <m/>
  </r>
  <r>
    <x v="717"/>
    <s v="Power Bank"/>
    <x v="2"/>
    <n v="4506"/>
    <x v="1"/>
    <s v="2023-05-28"/>
    <x v="1"/>
    <x v="2"/>
    <n v="13518"/>
    <n v="77"/>
    <s v="Delivered"/>
    <s v="Low"/>
    <s v="Bulk Order"/>
    <s v="Home-Kolkata"/>
    <s v="Hom"/>
    <m/>
  </r>
  <r>
    <x v="718"/>
    <s v="Wireless Earbuds"/>
    <x v="2"/>
    <n v="984"/>
    <x v="0"/>
    <s v="2023-05-03"/>
    <x v="2"/>
    <x v="2"/>
    <n v="3936"/>
    <n v="45"/>
    <s v="Pending"/>
    <s v="Medium"/>
    <s v="Bulk Order"/>
    <s v="Home-Hyderabad"/>
    <s v="Hom"/>
    <m/>
  </r>
  <r>
    <x v="719"/>
    <s v="Bluetooth Speaker"/>
    <x v="3"/>
    <n v="2568"/>
    <x v="3"/>
    <s v="2023-08-20"/>
    <x v="4"/>
    <x v="2"/>
    <n v="2568"/>
    <n v="47"/>
    <s v="Delivered"/>
    <s v="Medium"/>
    <s v="Normal Order"/>
    <s v="Accessories-Delhi"/>
    <s v="Acc"/>
    <m/>
  </r>
  <r>
    <x v="720"/>
    <s v="Fitness Band"/>
    <x v="4"/>
    <n v="4586"/>
    <x v="1"/>
    <s v="2023-01-28"/>
    <x v="3"/>
    <x v="0"/>
    <n v="13758"/>
    <n v="69"/>
    <s v="Delivered"/>
    <s v="High"/>
    <s v="Bulk Order"/>
    <s v="Electronics-Mumbai"/>
    <s v="Ele"/>
    <m/>
  </r>
  <r>
    <x v="721"/>
    <s v="Power Bank"/>
    <x v="3"/>
    <n v="4481"/>
    <x v="1"/>
    <s v="2023-09-24"/>
    <x v="2"/>
    <x v="2"/>
    <n v="13443"/>
    <n v="41"/>
    <s v="Delivered"/>
    <s v="Medium"/>
    <s v="Bulk Order"/>
    <s v="Accessories-Hyderabad"/>
    <s v="Acc"/>
    <m/>
  </r>
  <r>
    <x v="722"/>
    <s v="Coffee Mug"/>
    <x v="0"/>
    <n v="1994"/>
    <x v="1"/>
    <s v="2023-07-15"/>
    <x v="2"/>
    <x v="3"/>
    <n v="5982"/>
    <n v="46"/>
    <s v="Delivered"/>
    <s v="Medium"/>
    <s v="Bulk Order"/>
    <s v="Lifestyle-Hyderabad"/>
    <s v="Lif"/>
    <m/>
  </r>
  <r>
    <x v="723"/>
    <s v="Power Bank"/>
    <x v="1"/>
    <n v="4317"/>
    <x v="0"/>
    <s v="2023-01-06"/>
    <x v="1"/>
    <x v="3"/>
    <n v="17268"/>
    <n v="35"/>
    <s v="Delivered"/>
    <s v="Medium"/>
    <s v="Bulk Order"/>
    <s v="Fitness-Kolkata"/>
    <s v="Fit"/>
    <m/>
  </r>
  <r>
    <x v="724"/>
    <s v="Fitness Band"/>
    <x v="0"/>
    <n v="3291"/>
    <x v="1"/>
    <s v="2023-05-06"/>
    <x v="2"/>
    <x v="2"/>
    <n v="9873"/>
    <n v="42"/>
    <s v="Delivered"/>
    <s v="High"/>
    <s v="Bulk Order"/>
    <s v="Lifestyle-Hyderabad"/>
    <s v="Lif"/>
    <m/>
  </r>
  <r>
    <x v="725"/>
    <s v="USB Cable"/>
    <x v="2"/>
    <n v="2779"/>
    <x v="0"/>
    <s v="2023-09-15"/>
    <x v="5"/>
    <x v="2"/>
    <n v="11116"/>
    <n v="24"/>
    <s v="Delivered"/>
    <s v="High"/>
    <s v="Bulk Order"/>
    <s v="Home-Bangalore"/>
    <s v="Hom"/>
    <m/>
  </r>
  <r>
    <x v="726"/>
    <s v="Fitness Band"/>
    <x v="2"/>
    <n v="3376"/>
    <x v="0"/>
    <s v="2023-04-30"/>
    <x v="4"/>
    <x v="2"/>
    <n v="13504"/>
    <n v="90"/>
    <s v="Delivered"/>
    <s v="High"/>
    <s v="Bulk Order"/>
    <s v="Home-Delhi"/>
    <s v="Hom"/>
    <m/>
  </r>
  <r>
    <x v="727"/>
    <s v="Fitness Band"/>
    <x v="0"/>
    <n v="1223"/>
    <x v="3"/>
    <s v="2023-07-19"/>
    <x v="0"/>
    <x v="0"/>
    <n v="1223"/>
    <n v="98"/>
    <s v="Delivered"/>
    <s v="Low"/>
    <s v="Normal Order"/>
    <s v="Lifestyle-Chennai"/>
    <s v="Lif"/>
    <m/>
  </r>
  <r>
    <x v="728"/>
    <s v="Water Bottle"/>
    <x v="0"/>
    <n v="4344"/>
    <x v="1"/>
    <s v="2023-06-22"/>
    <x v="2"/>
    <x v="3"/>
    <n v="13032"/>
    <n v="66"/>
    <s v="Pending"/>
    <s v="Low"/>
    <s v="Bulk Order"/>
    <s v="Lifestyle-Hyderabad"/>
    <s v="Lif"/>
    <m/>
  </r>
  <r>
    <x v="729"/>
    <s v="Fitness Band"/>
    <x v="3"/>
    <n v="2462"/>
    <x v="0"/>
    <s v="2023-09-08"/>
    <x v="5"/>
    <x v="1"/>
    <n v="9848"/>
    <n v="41"/>
    <s v="Delivered"/>
    <s v="High"/>
    <s v="Bulk Order"/>
    <s v="Accessories-Bangalore"/>
    <s v="Acc"/>
    <m/>
  </r>
  <r>
    <x v="730"/>
    <s v="Wireless Earbuds"/>
    <x v="0"/>
    <n v="1058"/>
    <x v="2"/>
    <s v="2023-12-07"/>
    <x v="4"/>
    <x v="1"/>
    <n v="2116"/>
    <n v="25"/>
    <s v="Cancelled"/>
    <s v="Low"/>
    <s v="Normal Order"/>
    <s v="Lifestyle-Delhi"/>
    <s v="Lif"/>
    <m/>
  </r>
  <r>
    <x v="731"/>
    <s v="Smartphone Case"/>
    <x v="1"/>
    <n v="2072"/>
    <x v="1"/>
    <s v="2023-06-22"/>
    <x v="5"/>
    <x v="0"/>
    <n v="6216"/>
    <n v="39"/>
    <s v="Delivered"/>
    <s v="Low"/>
    <s v="Bulk Order"/>
    <s v="Fitness-Bangalore"/>
    <s v="Fit"/>
    <m/>
  </r>
  <r>
    <x v="732"/>
    <s v="USB Cable"/>
    <x v="4"/>
    <n v="390"/>
    <x v="3"/>
    <s v="2023-09-22"/>
    <x v="2"/>
    <x v="0"/>
    <n v="390"/>
    <n v="39"/>
    <s v="Delivered"/>
    <s v="Medium"/>
    <s v="Normal Order"/>
    <s v="Electronics-Hyderabad"/>
    <s v="Ele"/>
    <m/>
  </r>
  <r>
    <x v="733"/>
    <s v="Power Bank"/>
    <x v="1"/>
    <n v="1748"/>
    <x v="1"/>
    <s v="2023-09-26"/>
    <x v="0"/>
    <x v="0"/>
    <n v="5244"/>
    <n v="92"/>
    <s v="Pending"/>
    <s v="Medium"/>
    <s v="Bulk Order"/>
    <s v="Fitness-Chennai"/>
    <s v="Fit"/>
    <m/>
  </r>
  <r>
    <x v="734"/>
    <s v="LED Bulb"/>
    <x v="4"/>
    <n v="1712"/>
    <x v="0"/>
    <s v="2023-08-03"/>
    <x v="4"/>
    <x v="3"/>
    <n v="6848"/>
    <n v="100"/>
    <s v="Delivered"/>
    <s v="High"/>
    <s v="Bulk Order"/>
    <s v="Electronics-Delhi"/>
    <s v="Ele"/>
    <m/>
  </r>
  <r>
    <x v="735"/>
    <s v="Coffee Mug"/>
    <x v="4"/>
    <n v="4759"/>
    <x v="2"/>
    <s v="2023-05-18"/>
    <x v="5"/>
    <x v="2"/>
    <n v="9518"/>
    <n v="66"/>
    <s v="Cancelled"/>
    <s v="Medium"/>
    <s v="Normal Order"/>
    <s v="Electronics-Bangalore"/>
    <s v="Ele"/>
    <m/>
  </r>
  <r>
    <x v="736"/>
    <s v="Bluetooth Speaker"/>
    <x v="4"/>
    <n v="4490"/>
    <x v="1"/>
    <s v="2023-06-10"/>
    <x v="3"/>
    <x v="0"/>
    <n v="13470"/>
    <n v="76"/>
    <s v="Delivered"/>
    <s v="Low"/>
    <s v="Bulk Order"/>
    <s v="Electronics-Mumbai"/>
    <s v="Ele"/>
    <m/>
  </r>
  <r>
    <x v="737"/>
    <s v="Bluetooth Speaker"/>
    <x v="2"/>
    <n v="2655"/>
    <x v="3"/>
    <s v="2023-05-18"/>
    <x v="2"/>
    <x v="2"/>
    <n v="2655"/>
    <n v="27"/>
    <s v="Cancelled"/>
    <s v="Low"/>
    <s v="Normal Order"/>
    <s v="Home-Hyderabad"/>
    <s v="Hom"/>
    <m/>
  </r>
  <r>
    <x v="738"/>
    <s v="Bluetooth Speaker"/>
    <x v="3"/>
    <n v="2230"/>
    <x v="2"/>
    <s v="2023-08-25"/>
    <x v="5"/>
    <x v="0"/>
    <n v="4460"/>
    <n v="32"/>
    <s v="Delivered"/>
    <s v="High"/>
    <s v="Normal Order"/>
    <s v="Accessories-Bangalore"/>
    <s v="Acc"/>
    <m/>
  </r>
  <r>
    <x v="739"/>
    <s v="Laptop Stand"/>
    <x v="0"/>
    <n v="2534"/>
    <x v="0"/>
    <s v="2023-06-15"/>
    <x v="4"/>
    <x v="3"/>
    <n v="10136"/>
    <n v="96"/>
    <s v="Cancelled"/>
    <s v="High"/>
    <s v="Bulk Order"/>
    <s v="Lifestyle-Delhi"/>
    <s v="Lif"/>
    <m/>
  </r>
  <r>
    <x v="740"/>
    <s v="Power Bank"/>
    <x v="4"/>
    <n v="787"/>
    <x v="1"/>
    <s v="2023-04-26"/>
    <x v="5"/>
    <x v="3"/>
    <n v="2361"/>
    <n v="79"/>
    <s v="Delivered"/>
    <s v="Medium"/>
    <s v="Bulk Order"/>
    <s v="Electronics-Bangalore"/>
    <s v="Ele"/>
    <m/>
  </r>
  <r>
    <x v="741"/>
    <s v="Coffee Mug"/>
    <x v="3"/>
    <n v="4112"/>
    <x v="1"/>
    <s v="2023-08-13"/>
    <x v="5"/>
    <x v="3"/>
    <n v="12336"/>
    <n v="26"/>
    <s v="Pending"/>
    <s v="Low"/>
    <s v="Bulk Order"/>
    <s v="Accessories-Bangalore"/>
    <s v="Acc"/>
    <m/>
  </r>
  <r>
    <x v="742"/>
    <s v="Smartphone Case"/>
    <x v="1"/>
    <n v="467"/>
    <x v="1"/>
    <s v="2023-11-21"/>
    <x v="1"/>
    <x v="3"/>
    <n v="1401"/>
    <n v="46"/>
    <s v="Delivered"/>
    <s v="High"/>
    <s v="Bulk Order"/>
    <s v="Fitness-Kolkata"/>
    <s v="Fit"/>
    <m/>
  </r>
  <r>
    <x v="743"/>
    <s v="USB Cable"/>
    <x v="2"/>
    <n v="3749"/>
    <x v="1"/>
    <s v="2023-11-09"/>
    <x v="5"/>
    <x v="2"/>
    <n v="11247"/>
    <n v="71"/>
    <s v="Delivered"/>
    <s v="Medium"/>
    <s v="Bulk Order"/>
    <s v="Home-Bangalore"/>
    <s v="Hom"/>
    <m/>
  </r>
  <r>
    <x v="744"/>
    <s v="Power Bank"/>
    <x v="0"/>
    <n v="2279"/>
    <x v="1"/>
    <s v="2023-07-08"/>
    <x v="3"/>
    <x v="1"/>
    <n v="6837"/>
    <n v="95"/>
    <s v="Cancelled"/>
    <s v="Medium"/>
    <s v="Bulk Order"/>
    <s v="Lifestyle-Mumbai"/>
    <s v="Lif"/>
    <m/>
  </r>
  <r>
    <x v="745"/>
    <s v="Bluetooth Speaker"/>
    <x v="4"/>
    <n v="1544"/>
    <x v="3"/>
    <s v="2023-05-26"/>
    <x v="1"/>
    <x v="2"/>
    <n v="1544"/>
    <n v="24"/>
    <s v="Delivered"/>
    <s v="High"/>
    <s v="Normal Order"/>
    <s v="Electronics-Kolkata"/>
    <s v="Ele"/>
    <m/>
  </r>
  <r>
    <x v="746"/>
    <s v="Water Bottle"/>
    <x v="1"/>
    <n v="3927"/>
    <x v="0"/>
    <s v="2023-01-08"/>
    <x v="2"/>
    <x v="3"/>
    <n v="15708"/>
    <n v="24"/>
    <s v="Delivered"/>
    <s v="High"/>
    <s v="Bulk Order"/>
    <s v="Fitness-Hyderabad"/>
    <s v="Fit"/>
    <m/>
  </r>
  <r>
    <x v="747"/>
    <s v="Bluetooth Speaker"/>
    <x v="3"/>
    <n v="3336"/>
    <x v="2"/>
    <s v="2023-09-07"/>
    <x v="5"/>
    <x v="2"/>
    <n v="6672"/>
    <n v="99"/>
    <s v="Delivered"/>
    <s v="High"/>
    <s v="Normal Order"/>
    <s v="Accessories-Bangalore"/>
    <s v="Acc"/>
    <m/>
  </r>
  <r>
    <x v="748"/>
    <s v="Bluetooth Speaker"/>
    <x v="3"/>
    <n v="4422"/>
    <x v="3"/>
    <s v="2023-05-09"/>
    <x v="0"/>
    <x v="3"/>
    <n v="4422"/>
    <n v="46"/>
    <s v="Delivered"/>
    <s v="Medium"/>
    <s v="Normal Order"/>
    <s v="Accessories-Chennai"/>
    <s v="Acc"/>
    <m/>
  </r>
  <r>
    <x v="749"/>
    <s v="Smartphone Case"/>
    <x v="2"/>
    <n v="4508"/>
    <x v="2"/>
    <s v="2023-11-12"/>
    <x v="0"/>
    <x v="0"/>
    <n v="9016"/>
    <n v="95"/>
    <s v="Delivered"/>
    <s v="Low"/>
    <s v="Normal Order"/>
    <s v="Home-Chennai"/>
    <s v="Hom"/>
    <m/>
  </r>
  <r>
    <x v="750"/>
    <s v="Bluetooth Speaker"/>
    <x v="4"/>
    <n v="1510"/>
    <x v="3"/>
    <s v="2023-05-28"/>
    <x v="1"/>
    <x v="1"/>
    <n v="1510"/>
    <n v="41"/>
    <s v="Delivered"/>
    <s v="Medium"/>
    <s v="Normal Order"/>
    <s v="Electronics-Kolkata"/>
    <s v="Ele"/>
    <m/>
  </r>
  <r>
    <x v="751"/>
    <s v="Wireless Earbuds"/>
    <x v="0"/>
    <n v="2498"/>
    <x v="2"/>
    <s v="2023-09-21"/>
    <x v="3"/>
    <x v="1"/>
    <n v="4996"/>
    <n v="23"/>
    <s v="Delivered"/>
    <s v="High"/>
    <s v="Normal Order"/>
    <s v="Lifestyle-Mumbai"/>
    <s v="Lif"/>
    <m/>
  </r>
  <r>
    <x v="752"/>
    <s v="Wireless Earbuds"/>
    <x v="2"/>
    <n v="2387"/>
    <x v="3"/>
    <s v="2023-08-28"/>
    <x v="4"/>
    <x v="1"/>
    <n v="2387"/>
    <n v="27"/>
    <s v="Delivered"/>
    <s v="Medium"/>
    <s v="Normal Order"/>
    <s v="Home-Delhi"/>
    <s v="Hom"/>
    <m/>
  </r>
  <r>
    <x v="753"/>
    <s v="Smartphone Case"/>
    <x v="4"/>
    <n v="2194"/>
    <x v="2"/>
    <s v="2023-05-27"/>
    <x v="5"/>
    <x v="3"/>
    <n v="4388"/>
    <n v="30"/>
    <s v="Pending"/>
    <s v="Medium"/>
    <s v="Normal Order"/>
    <s v="Electronics-Bangalore"/>
    <s v="Ele"/>
    <m/>
  </r>
  <r>
    <x v="754"/>
    <s v="Laptop Stand"/>
    <x v="1"/>
    <n v="1731"/>
    <x v="1"/>
    <s v="2023-04-24"/>
    <x v="4"/>
    <x v="2"/>
    <n v="5193"/>
    <n v="55"/>
    <s v="Delivered"/>
    <s v="Low"/>
    <s v="Bulk Order"/>
    <s v="Fitness-Delhi"/>
    <s v="Fit"/>
    <m/>
  </r>
  <r>
    <x v="755"/>
    <s v="Smartphone Case"/>
    <x v="0"/>
    <n v="2387"/>
    <x v="1"/>
    <s v="2023-12-19"/>
    <x v="0"/>
    <x v="3"/>
    <n v="7161"/>
    <n v="80"/>
    <s v="Pending"/>
    <s v="High"/>
    <s v="Bulk Order"/>
    <s v="Lifestyle-Chennai"/>
    <s v="Lif"/>
    <m/>
  </r>
  <r>
    <x v="756"/>
    <s v="Bluetooth Speaker"/>
    <x v="1"/>
    <n v="4932"/>
    <x v="0"/>
    <s v="2023-10-12"/>
    <x v="1"/>
    <x v="2"/>
    <n v="19728"/>
    <n v="88"/>
    <s v="Cancelled"/>
    <s v="Medium"/>
    <s v="Bulk Order"/>
    <s v="Fitness-Kolkata"/>
    <s v="Fit"/>
    <m/>
  </r>
  <r>
    <x v="757"/>
    <s v="LED Bulb"/>
    <x v="4"/>
    <n v="2333"/>
    <x v="1"/>
    <s v="2023-07-12"/>
    <x v="1"/>
    <x v="3"/>
    <n v="6999"/>
    <n v="71"/>
    <s v="Delivered"/>
    <s v="Medium"/>
    <s v="Bulk Order"/>
    <s v="Electronics-Kolkata"/>
    <s v="Ele"/>
    <m/>
  </r>
  <r>
    <x v="758"/>
    <s v="Bluetooth Speaker"/>
    <x v="3"/>
    <n v="4985"/>
    <x v="1"/>
    <s v="2023-09-16"/>
    <x v="2"/>
    <x v="0"/>
    <n v="14955"/>
    <n v="27"/>
    <s v="Pending"/>
    <s v="High"/>
    <s v="Bulk Order"/>
    <s v="Accessories-Hyderabad"/>
    <s v="Acc"/>
    <m/>
  </r>
  <r>
    <x v="759"/>
    <s v="Fitness Band"/>
    <x v="3"/>
    <n v="934"/>
    <x v="0"/>
    <s v="2023-06-12"/>
    <x v="0"/>
    <x v="0"/>
    <n v="3736"/>
    <n v="79"/>
    <s v="Delivered"/>
    <s v="Medium"/>
    <s v="Bulk Order"/>
    <s v="Accessories-Chennai"/>
    <s v="Acc"/>
    <m/>
  </r>
  <r>
    <x v="760"/>
    <s v="Laptop Stand"/>
    <x v="1"/>
    <n v="4985"/>
    <x v="1"/>
    <s v="2023-11-09"/>
    <x v="1"/>
    <x v="0"/>
    <n v="14955"/>
    <n v="92"/>
    <s v="Delivered"/>
    <s v="High"/>
    <s v="Bulk Order"/>
    <s v="Fitness-Kolkata"/>
    <s v="Fit"/>
    <m/>
  </r>
  <r>
    <x v="761"/>
    <s v="Laptop Stand"/>
    <x v="4"/>
    <n v="883"/>
    <x v="0"/>
    <s v="2023-07-06"/>
    <x v="0"/>
    <x v="2"/>
    <n v="3532"/>
    <n v="24"/>
    <s v="Delivered"/>
    <s v="Medium"/>
    <s v="Bulk Order"/>
    <s v="Electronics-Chennai"/>
    <s v="Ele"/>
    <m/>
  </r>
  <r>
    <x v="762"/>
    <s v="Wireless Earbuds"/>
    <x v="1"/>
    <n v="3491"/>
    <x v="1"/>
    <s v="2023-04-21"/>
    <x v="4"/>
    <x v="0"/>
    <n v="10473"/>
    <n v="25"/>
    <s v="Delivered"/>
    <s v="High"/>
    <s v="Bulk Order"/>
    <s v="Fitness-Delhi"/>
    <s v="Fit"/>
    <m/>
  </r>
  <r>
    <x v="763"/>
    <s v="Coffee Mug"/>
    <x v="2"/>
    <n v="1586"/>
    <x v="1"/>
    <s v="2023-06-23"/>
    <x v="2"/>
    <x v="2"/>
    <n v="4758"/>
    <n v="73"/>
    <s v="Delivered"/>
    <s v="High"/>
    <s v="Bulk Order"/>
    <s v="Home-Hyderabad"/>
    <s v="Hom"/>
    <m/>
  </r>
  <r>
    <x v="764"/>
    <s v="Coffee Mug"/>
    <x v="0"/>
    <n v="1571"/>
    <x v="1"/>
    <s v="2023-05-18"/>
    <x v="3"/>
    <x v="0"/>
    <n v="4713"/>
    <n v="26"/>
    <s v="Delivered"/>
    <s v="Low"/>
    <s v="Bulk Order"/>
    <s v="Lifestyle-Mumbai"/>
    <s v="Lif"/>
    <m/>
  </r>
  <r>
    <x v="765"/>
    <s v="Water Bottle"/>
    <x v="0"/>
    <n v="4740"/>
    <x v="1"/>
    <s v="2023-05-13"/>
    <x v="1"/>
    <x v="0"/>
    <n v="14220"/>
    <n v="99"/>
    <s v="Delivered"/>
    <s v="High"/>
    <s v="Bulk Order"/>
    <s v="Lifestyle-Kolkata"/>
    <s v="Lif"/>
    <m/>
  </r>
  <r>
    <x v="766"/>
    <s v="Water Bottle"/>
    <x v="4"/>
    <n v="2168"/>
    <x v="3"/>
    <s v="2023-11-17"/>
    <x v="5"/>
    <x v="0"/>
    <n v="2168"/>
    <n v="29"/>
    <s v="Delivered"/>
    <s v="Low"/>
    <s v="Normal Order"/>
    <s v="Electronics-Bangalore"/>
    <s v="Ele"/>
    <m/>
  </r>
  <r>
    <x v="767"/>
    <s v="Laptop Stand"/>
    <x v="1"/>
    <n v="1108"/>
    <x v="1"/>
    <s v="2023-06-09"/>
    <x v="3"/>
    <x v="0"/>
    <n v="3324"/>
    <n v="48"/>
    <s v="Pending"/>
    <s v="Medium"/>
    <s v="Bulk Order"/>
    <s v="Fitness-Mumbai"/>
    <s v="Fit"/>
    <m/>
  </r>
  <r>
    <x v="768"/>
    <s v="Desk Organizer"/>
    <x v="0"/>
    <n v="1590"/>
    <x v="2"/>
    <s v="2023-08-07"/>
    <x v="1"/>
    <x v="1"/>
    <n v="3180"/>
    <n v="35"/>
    <s v="Delivered"/>
    <s v="High"/>
    <s v="Normal Order"/>
    <s v="Lifestyle-Kolkata"/>
    <s v="Lif"/>
    <m/>
  </r>
  <r>
    <x v="769"/>
    <s v="Laptop Stand"/>
    <x v="0"/>
    <n v="3518"/>
    <x v="3"/>
    <s v="2023-08-18"/>
    <x v="4"/>
    <x v="3"/>
    <n v="3518"/>
    <n v="24"/>
    <s v="Delivered"/>
    <s v="Low"/>
    <s v="Normal Order"/>
    <s v="Lifestyle-Delhi"/>
    <s v="Lif"/>
    <m/>
  </r>
  <r>
    <x v="770"/>
    <s v="Backpack"/>
    <x v="0"/>
    <n v="4852"/>
    <x v="3"/>
    <s v="2023-02-12"/>
    <x v="1"/>
    <x v="0"/>
    <n v="4852"/>
    <n v="53"/>
    <s v="Pending"/>
    <s v="Medium"/>
    <s v="Normal Order"/>
    <s v="Lifestyle-Kolkata"/>
    <s v="Lif"/>
    <m/>
  </r>
  <r>
    <x v="771"/>
    <s v="LED Bulb"/>
    <x v="0"/>
    <n v="1779"/>
    <x v="1"/>
    <s v="2023-09-30"/>
    <x v="3"/>
    <x v="2"/>
    <n v="5337"/>
    <n v="86"/>
    <s v="Pending"/>
    <s v="High"/>
    <s v="Bulk Order"/>
    <s v="Lifestyle-Mumbai"/>
    <s v="Lif"/>
    <m/>
  </r>
  <r>
    <x v="772"/>
    <s v="Power Bank"/>
    <x v="1"/>
    <n v="4979"/>
    <x v="0"/>
    <s v="2023-05-04"/>
    <x v="5"/>
    <x v="1"/>
    <n v="19916"/>
    <n v="31"/>
    <s v="Delivered"/>
    <s v="Medium"/>
    <s v="Bulk Order"/>
    <s v="Fitness-Bangalore"/>
    <s v="Fit"/>
    <m/>
  </r>
  <r>
    <x v="773"/>
    <s v="Wireless Earbuds"/>
    <x v="4"/>
    <n v="2871"/>
    <x v="2"/>
    <s v="2023-05-31"/>
    <x v="1"/>
    <x v="2"/>
    <n v="5742"/>
    <n v="25"/>
    <s v="Delivered"/>
    <s v="High"/>
    <s v="Normal Order"/>
    <s v="Electronics-Kolkata"/>
    <s v="Ele"/>
    <m/>
  </r>
  <r>
    <x v="774"/>
    <s v="Power Bank"/>
    <x v="3"/>
    <n v="4982"/>
    <x v="0"/>
    <s v="2023-03-05"/>
    <x v="4"/>
    <x v="0"/>
    <n v="19928"/>
    <n v="98"/>
    <s v="Pending"/>
    <s v="High"/>
    <s v="Bulk Order"/>
    <s v="Accessories-Delhi"/>
    <s v="Acc"/>
    <m/>
  </r>
  <r>
    <x v="775"/>
    <s v="Desk Organizer"/>
    <x v="4"/>
    <n v="3029"/>
    <x v="0"/>
    <s v="2023-11-01"/>
    <x v="4"/>
    <x v="2"/>
    <n v="12116"/>
    <n v="75"/>
    <s v="Pending"/>
    <s v="Medium"/>
    <s v="Bulk Order"/>
    <s v="Electronics-Delhi"/>
    <s v="Ele"/>
    <m/>
  </r>
  <r>
    <x v="776"/>
    <s v="Fitness Band"/>
    <x v="2"/>
    <n v="2812"/>
    <x v="0"/>
    <s v="2023-07-17"/>
    <x v="5"/>
    <x v="2"/>
    <n v="11248"/>
    <n v="29"/>
    <s v="Delivered"/>
    <s v="High"/>
    <s v="Bulk Order"/>
    <s v="Home-Bangalore"/>
    <s v="Hom"/>
    <m/>
  </r>
  <r>
    <x v="777"/>
    <s v="USB Cable"/>
    <x v="4"/>
    <n v="667"/>
    <x v="2"/>
    <s v="2023-07-09"/>
    <x v="3"/>
    <x v="3"/>
    <n v="1334"/>
    <n v="39"/>
    <s v="Delivered"/>
    <s v="Medium"/>
    <s v="Normal Order"/>
    <s v="Electronics-Mumbai"/>
    <s v="Ele"/>
    <m/>
  </r>
  <r>
    <x v="778"/>
    <s v="Power Bank"/>
    <x v="3"/>
    <n v="524"/>
    <x v="2"/>
    <s v="2023-06-24"/>
    <x v="4"/>
    <x v="0"/>
    <n v="1048"/>
    <n v="70"/>
    <s v="Delivered"/>
    <s v="Medium"/>
    <s v="Normal Order"/>
    <s v="Accessories-Delhi"/>
    <s v="Acc"/>
    <m/>
  </r>
  <r>
    <x v="779"/>
    <s v="Water Bottle"/>
    <x v="2"/>
    <n v="177"/>
    <x v="2"/>
    <s v="2023-12-27"/>
    <x v="2"/>
    <x v="2"/>
    <n v="354"/>
    <n v="26"/>
    <s v="Pending"/>
    <s v="High"/>
    <s v="Normal Order"/>
    <s v="Home-Hyderabad"/>
    <s v="Hom"/>
    <m/>
  </r>
  <r>
    <x v="780"/>
    <s v="LED Bulb"/>
    <x v="4"/>
    <n v="3524"/>
    <x v="2"/>
    <s v="2023-04-18"/>
    <x v="4"/>
    <x v="3"/>
    <n v="7048"/>
    <n v="98"/>
    <s v="Delivered"/>
    <s v="High"/>
    <s v="Normal Order"/>
    <s v="Electronics-Delhi"/>
    <s v="Ele"/>
    <m/>
  </r>
  <r>
    <x v="781"/>
    <s v="Desk Organizer"/>
    <x v="0"/>
    <n v="2557"/>
    <x v="1"/>
    <s v="2023-10-15"/>
    <x v="5"/>
    <x v="3"/>
    <n v="7671"/>
    <n v="56"/>
    <s v="Delivered"/>
    <s v="High"/>
    <s v="Bulk Order"/>
    <s v="Lifestyle-Bangalore"/>
    <s v="Lif"/>
    <m/>
  </r>
  <r>
    <x v="782"/>
    <s v="Laptop Stand"/>
    <x v="3"/>
    <n v="1930"/>
    <x v="2"/>
    <s v="2023-05-29"/>
    <x v="1"/>
    <x v="0"/>
    <n v="3860"/>
    <n v="55"/>
    <s v="Pending"/>
    <s v="High"/>
    <s v="Normal Order"/>
    <s v="Accessories-Kolkata"/>
    <s v="Acc"/>
    <m/>
  </r>
  <r>
    <x v="783"/>
    <s v="Laptop Stand"/>
    <x v="1"/>
    <n v="181"/>
    <x v="1"/>
    <s v="2023-06-05"/>
    <x v="2"/>
    <x v="3"/>
    <n v="543"/>
    <n v="74"/>
    <s v="Pending"/>
    <s v="Medium"/>
    <s v="Bulk Order"/>
    <s v="Fitness-Hyderabad"/>
    <s v="Fit"/>
    <m/>
  </r>
  <r>
    <x v="784"/>
    <s v="LED Bulb"/>
    <x v="2"/>
    <n v="2875"/>
    <x v="1"/>
    <s v="2023-11-13"/>
    <x v="5"/>
    <x v="3"/>
    <n v="8625"/>
    <n v="62"/>
    <s v="Delivered"/>
    <s v="Medium"/>
    <s v="Bulk Order"/>
    <s v="Home-Bangalore"/>
    <s v="Hom"/>
    <m/>
  </r>
  <r>
    <x v="785"/>
    <s v="Coffee Mug"/>
    <x v="0"/>
    <n v="4561"/>
    <x v="3"/>
    <s v="2023-10-31"/>
    <x v="5"/>
    <x v="0"/>
    <n v="4561"/>
    <n v="95"/>
    <s v="Delivered"/>
    <s v="Medium"/>
    <s v="Normal Order"/>
    <s v="Lifestyle-Bangalore"/>
    <s v="Lif"/>
    <m/>
  </r>
  <r>
    <x v="786"/>
    <s v="Laptop Stand"/>
    <x v="3"/>
    <n v="1160"/>
    <x v="0"/>
    <s v="2023-07-14"/>
    <x v="3"/>
    <x v="3"/>
    <n v="4640"/>
    <n v="92"/>
    <s v="Delivered"/>
    <s v="Medium"/>
    <s v="Bulk Order"/>
    <s v="Accessories-Mumbai"/>
    <s v="Acc"/>
    <m/>
  </r>
  <r>
    <x v="787"/>
    <s v="Wireless Earbuds"/>
    <x v="3"/>
    <n v="3188"/>
    <x v="0"/>
    <s v="2023-11-02"/>
    <x v="5"/>
    <x v="2"/>
    <n v="12752"/>
    <n v="72"/>
    <s v="Delivered"/>
    <s v="High"/>
    <s v="Bulk Order"/>
    <s v="Accessories-Bangalore"/>
    <s v="Acc"/>
    <m/>
  </r>
  <r>
    <x v="788"/>
    <s v="Bluetooth Speaker"/>
    <x v="0"/>
    <n v="1801"/>
    <x v="2"/>
    <s v="2023-01-25"/>
    <x v="0"/>
    <x v="0"/>
    <n v="3602"/>
    <n v="68"/>
    <s v="Delivered"/>
    <s v="High"/>
    <s v="Normal Order"/>
    <s v="Lifestyle-Chennai"/>
    <s v="Lif"/>
    <m/>
  </r>
  <r>
    <x v="789"/>
    <s v="Water Bottle"/>
    <x v="3"/>
    <n v="1071"/>
    <x v="0"/>
    <s v="2023-11-18"/>
    <x v="3"/>
    <x v="1"/>
    <n v="4284"/>
    <n v="73"/>
    <s v="Pending"/>
    <s v="Medium"/>
    <s v="Bulk Order"/>
    <s v="Accessories-Mumbai"/>
    <s v="Acc"/>
    <m/>
  </r>
  <r>
    <x v="790"/>
    <s v="Wireless Earbuds"/>
    <x v="3"/>
    <n v="1632"/>
    <x v="2"/>
    <s v="2023-11-05"/>
    <x v="0"/>
    <x v="2"/>
    <n v="3264"/>
    <n v="77"/>
    <s v="Delivered"/>
    <s v="Medium"/>
    <s v="Normal Order"/>
    <s v="Accessories-Chennai"/>
    <s v="Acc"/>
    <m/>
  </r>
  <r>
    <x v="791"/>
    <s v="Smartphone Case"/>
    <x v="4"/>
    <n v="3963"/>
    <x v="3"/>
    <s v="2023-12-13"/>
    <x v="4"/>
    <x v="0"/>
    <n v="3963"/>
    <n v="99"/>
    <s v="Pending"/>
    <s v="High"/>
    <s v="Normal Order"/>
    <s v="Electronics-Delhi"/>
    <s v="Ele"/>
    <m/>
  </r>
  <r>
    <x v="792"/>
    <s v="Bluetooth Speaker"/>
    <x v="0"/>
    <n v="4428"/>
    <x v="2"/>
    <s v="2023-08-18"/>
    <x v="1"/>
    <x v="3"/>
    <n v="8856"/>
    <n v="24"/>
    <s v="Cancelled"/>
    <s v="Medium"/>
    <s v="Normal Order"/>
    <s v="Lifestyle-Kolkata"/>
    <s v="Lif"/>
    <m/>
  </r>
  <r>
    <x v="793"/>
    <s v="Power Bank"/>
    <x v="1"/>
    <n v="3544"/>
    <x v="2"/>
    <s v="2023-02-17"/>
    <x v="5"/>
    <x v="2"/>
    <n v="7088"/>
    <n v="70"/>
    <s v="Delivered"/>
    <s v="Medium"/>
    <s v="Normal Order"/>
    <s v="Fitness-Bangalore"/>
    <s v="Fit"/>
    <m/>
  </r>
  <r>
    <x v="794"/>
    <s v="Desk Organizer"/>
    <x v="2"/>
    <n v="4455"/>
    <x v="3"/>
    <s v="2023-02-27"/>
    <x v="5"/>
    <x v="3"/>
    <n v="4455"/>
    <n v="44"/>
    <s v="Delivered"/>
    <s v="High"/>
    <s v="Normal Order"/>
    <s v="Home-Bangalore"/>
    <s v="Hom"/>
    <m/>
  </r>
  <r>
    <x v="795"/>
    <s v="Fitness Band"/>
    <x v="3"/>
    <n v="4983"/>
    <x v="3"/>
    <s v="2023-03-20"/>
    <x v="5"/>
    <x v="3"/>
    <n v="4983"/>
    <n v="82"/>
    <s v="Delivered"/>
    <s v="Medium"/>
    <s v="Normal Order"/>
    <s v="Accessories-Bangalore"/>
    <s v="Acc"/>
    <m/>
  </r>
  <r>
    <x v="796"/>
    <s v="Desk Organizer"/>
    <x v="4"/>
    <n v="4129"/>
    <x v="1"/>
    <s v="2023-12-13"/>
    <x v="5"/>
    <x v="2"/>
    <n v="12387"/>
    <n v="51"/>
    <s v="Delivered"/>
    <s v="Medium"/>
    <s v="Bulk Order"/>
    <s v="Electronics-Bangalore"/>
    <s v="Ele"/>
    <m/>
  </r>
  <r>
    <x v="797"/>
    <s v="Backpack"/>
    <x v="4"/>
    <n v="4028"/>
    <x v="1"/>
    <s v="2023-03-24"/>
    <x v="0"/>
    <x v="1"/>
    <n v="12084"/>
    <n v="55"/>
    <s v="Cancelled"/>
    <s v="Low"/>
    <s v="Bulk Order"/>
    <s v="Electronics-Chennai"/>
    <s v="Ele"/>
    <m/>
  </r>
  <r>
    <x v="798"/>
    <s v="Backpack"/>
    <x v="0"/>
    <n v="3038"/>
    <x v="2"/>
    <s v="2023-02-03"/>
    <x v="1"/>
    <x v="0"/>
    <n v="6076"/>
    <n v="78"/>
    <s v="Cancelled"/>
    <s v="Medium"/>
    <s v="Normal Order"/>
    <s v="Lifestyle-Kolkata"/>
    <s v="Lif"/>
    <m/>
  </r>
  <r>
    <x v="799"/>
    <s v="Fitness Band"/>
    <x v="0"/>
    <n v="861"/>
    <x v="1"/>
    <s v="2023-10-14"/>
    <x v="0"/>
    <x v="3"/>
    <n v="2583"/>
    <n v="55"/>
    <s v="Delivered"/>
    <s v="High"/>
    <s v="Bulk Order"/>
    <s v="Lifestyle-Chennai"/>
    <s v="Lif"/>
    <m/>
  </r>
  <r>
    <x v="800"/>
    <s v="USB Cable"/>
    <x v="3"/>
    <n v="4232"/>
    <x v="3"/>
    <s v="2023-11-21"/>
    <x v="1"/>
    <x v="0"/>
    <n v="4232"/>
    <n v="75"/>
    <s v="Delivered"/>
    <s v="Medium"/>
    <s v="Normal Order"/>
    <s v="Accessories-Kolkata"/>
    <s v="Acc"/>
    <m/>
  </r>
  <r>
    <x v="801"/>
    <s v="Water Bottle"/>
    <x v="1"/>
    <n v="3048"/>
    <x v="0"/>
    <s v="2023-05-27"/>
    <x v="0"/>
    <x v="0"/>
    <n v="12192"/>
    <n v="78"/>
    <s v="Delivered"/>
    <s v="Medium"/>
    <s v="Bulk Order"/>
    <s v="Fitness-Chennai"/>
    <s v="Fit"/>
    <m/>
  </r>
  <r>
    <x v="802"/>
    <s v="USB Cable"/>
    <x v="0"/>
    <n v="307"/>
    <x v="3"/>
    <s v="2023-03-15"/>
    <x v="2"/>
    <x v="1"/>
    <n v="307"/>
    <n v="66"/>
    <s v="Pending"/>
    <s v="Medium"/>
    <s v="Normal Order"/>
    <s v="Lifestyle-Hyderabad"/>
    <s v="Lif"/>
    <m/>
  </r>
  <r>
    <x v="803"/>
    <s v="Bluetooth Speaker"/>
    <x v="1"/>
    <n v="4652"/>
    <x v="0"/>
    <s v="2023-08-02"/>
    <x v="1"/>
    <x v="3"/>
    <n v="18608"/>
    <n v="58"/>
    <s v="Delivered"/>
    <s v="Medium"/>
    <s v="Bulk Order"/>
    <s v="Fitness-Kolkata"/>
    <s v="Fit"/>
    <m/>
  </r>
  <r>
    <x v="804"/>
    <s v="Power Bank"/>
    <x v="2"/>
    <n v="1526"/>
    <x v="3"/>
    <s v="2023-07-14"/>
    <x v="1"/>
    <x v="2"/>
    <n v="1526"/>
    <n v="62"/>
    <s v="Delivered"/>
    <s v="High"/>
    <s v="Normal Order"/>
    <s v="Home-Kolkata"/>
    <s v="Hom"/>
    <m/>
  </r>
  <r>
    <x v="805"/>
    <s v="Wireless Earbuds"/>
    <x v="4"/>
    <n v="3369"/>
    <x v="3"/>
    <s v="2023-09-27"/>
    <x v="1"/>
    <x v="1"/>
    <n v="3369"/>
    <n v="84"/>
    <s v="Cancelled"/>
    <s v="High"/>
    <s v="Normal Order"/>
    <s v="Electronics-Kolkata"/>
    <s v="Ele"/>
    <m/>
  </r>
  <r>
    <x v="806"/>
    <s v="Power Bank"/>
    <x v="4"/>
    <n v="4858"/>
    <x v="3"/>
    <s v="2023-01-25"/>
    <x v="1"/>
    <x v="0"/>
    <n v="4858"/>
    <n v="56"/>
    <s v="Delivered"/>
    <s v="Low"/>
    <s v="Normal Order"/>
    <s v="Electronics-Kolkata"/>
    <s v="Ele"/>
    <m/>
  </r>
  <r>
    <x v="807"/>
    <s v="Wireless Earbuds"/>
    <x v="0"/>
    <n v="2579"/>
    <x v="2"/>
    <s v="2023-01-12"/>
    <x v="4"/>
    <x v="1"/>
    <n v="5158"/>
    <n v="21"/>
    <s v="Pending"/>
    <s v="Low"/>
    <s v="Normal Order"/>
    <s v="Lifestyle-Delhi"/>
    <s v="Lif"/>
    <m/>
  </r>
  <r>
    <x v="808"/>
    <s v="Bluetooth Speaker"/>
    <x v="4"/>
    <n v="4660"/>
    <x v="3"/>
    <s v="2023-11-23"/>
    <x v="4"/>
    <x v="0"/>
    <n v="4660"/>
    <n v="71"/>
    <s v="Delivered"/>
    <s v="Medium"/>
    <s v="Normal Order"/>
    <s v="Electronics-Delhi"/>
    <s v="Ele"/>
    <m/>
  </r>
  <r>
    <x v="809"/>
    <s v="Wireless Earbuds"/>
    <x v="3"/>
    <n v="4531"/>
    <x v="1"/>
    <s v="2023-05-25"/>
    <x v="5"/>
    <x v="3"/>
    <n v="13593"/>
    <n v="27"/>
    <s v="Cancelled"/>
    <s v="High"/>
    <s v="Bulk Order"/>
    <s v="Accessories-Bangalore"/>
    <s v="Acc"/>
    <m/>
  </r>
  <r>
    <x v="810"/>
    <s v="Bluetooth Speaker"/>
    <x v="1"/>
    <n v="3378"/>
    <x v="3"/>
    <s v="2023-07-21"/>
    <x v="2"/>
    <x v="2"/>
    <n v="3378"/>
    <n v="83"/>
    <s v="Cancelled"/>
    <s v="Medium"/>
    <s v="Normal Order"/>
    <s v="Fitness-Hyderabad"/>
    <s v="Fit"/>
    <m/>
  </r>
  <r>
    <x v="811"/>
    <s v="Water Bottle"/>
    <x v="2"/>
    <n v="821"/>
    <x v="3"/>
    <s v="2023-09-14"/>
    <x v="2"/>
    <x v="2"/>
    <n v="821"/>
    <n v="54"/>
    <s v="Delivered"/>
    <s v="High"/>
    <s v="Normal Order"/>
    <s v="Home-Hyderabad"/>
    <s v="Hom"/>
    <m/>
  </r>
  <r>
    <x v="812"/>
    <s v="USB Cable"/>
    <x v="4"/>
    <n v="2365"/>
    <x v="1"/>
    <s v="2023-04-07"/>
    <x v="1"/>
    <x v="1"/>
    <n v="7095"/>
    <n v="89"/>
    <s v="Delivered"/>
    <s v="Medium"/>
    <s v="Bulk Order"/>
    <s v="Electronics-Kolkata"/>
    <s v="Ele"/>
    <m/>
  </r>
  <r>
    <x v="813"/>
    <s v="Backpack"/>
    <x v="0"/>
    <n v="3490"/>
    <x v="1"/>
    <s v="2023-09-14"/>
    <x v="0"/>
    <x v="3"/>
    <n v="10470"/>
    <n v="67"/>
    <s v="Delivered"/>
    <s v="Medium"/>
    <s v="Bulk Order"/>
    <s v="Lifestyle-Chennai"/>
    <s v="Lif"/>
    <m/>
  </r>
  <r>
    <x v="814"/>
    <s v="USB Cable"/>
    <x v="1"/>
    <n v="1512"/>
    <x v="2"/>
    <s v="2023-04-06"/>
    <x v="3"/>
    <x v="0"/>
    <n v="3024"/>
    <n v="82"/>
    <s v="Cancelled"/>
    <s v="Low"/>
    <s v="Normal Order"/>
    <s v="Fitness-Mumbai"/>
    <s v="Fit"/>
    <m/>
  </r>
  <r>
    <x v="815"/>
    <s v="Desk Organizer"/>
    <x v="3"/>
    <n v="2722"/>
    <x v="0"/>
    <s v="2023-12-29"/>
    <x v="4"/>
    <x v="2"/>
    <n v="10888"/>
    <n v="25"/>
    <s v="Pending"/>
    <s v="High"/>
    <s v="Bulk Order"/>
    <s v="Accessories-Delhi"/>
    <s v="Acc"/>
    <m/>
  </r>
  <r>
    <x v="816"/>
    <s v="Smartphone Case"/>
    <x v="2"/>
    <n v="3373"/>
    <x v="3"/>
    <s v="2023-02-22"/>
    <x v="1"/>
    <x v="0"/>
    <n v="3373"/>
    <n v="22"/>
    <s v="Delivered"/>
    <s v="Medium"/>
    <s v="Normal Order"/>
    <s v="Home-Kolkata"/>
    <s v="Hom"/>
    <m/>
  </r>
  <r>
    <x v="817"/>
    <s v="Backpack"/>
    <x v="0"/>
    <n v="3180"/>
    <x v="3"/>
    <s v="2023-08-23"/>
    <x v="2"/>
    <x v="1"/>
    <n v="3180"/>
    <n v="78"/>
    <s v="Delivered"/>
    <s v="Medium"/>
    <s v="Normal Order"/>
    <s v="Lifestyle-Hyderabad"/>
    <s v="Lif"/>
    <m/>
  </r>
  <r>
    <x v="818"/>
    <s v="LED Bulb"/>
    <x v="0"/>
    <n v="2394"/>
    <x v="0"/>
    <s v="2023-02-28"/>
    <x v="2"/>
    <x v="1"/>
    <n v="9576"/>
    <n v="21"/>
    <s v="Delivered"/>
    <s v="Low"/>
    <s v="Bulk Order"/>
    <s v="Lifestyle-Hyderabad"/>
    <s v="Lif"/>
    <m/>
  </r>
  <r>
    <x v="819"/>
    <s v="Smartphone Case"/>
    <x v="3"/>
    <n v="3056"/>
    <x v="2"/>
    <s v="2023-01-21"/>
    <x v="3"/>
    <x v="1"/>
    <n v="6112"/>
    <n v="31"/>
    <s v="Delivered"/>
    <s v="Low"/>
    <s v="Normal Order"/>
    <s v="Accessories-Mumbai"/>
    <s v="Acc"/>
    <m/>
  </r>
  <r>
    <x v="820"/>
    <s v="USB Cable"/>
    <x v="3"/>
    <n v="1979"/>
    <x v="1"/>
    <s v="2023-03-28"/>
    <x v="5"/>
    <x v="1"/>
    <n v="5937"/>
    <n v="96"/>
    <s v="Delivered"/>
    <s v="Medium"/>
    <s v="Bulk Order"/>
    <s v="Accessories-Bangalore"/>
    <s v="Acc"/>
    <m/>
  </r>
  <r>
    <x v="821"/>
    <s v="Coffee Mug"/>
    <x v="3"/>
    <n v="3793"/>
    <x v="1"/>
    <s v="2023-07-20"/>
    <x v="3"/>
    <x v="3"/>
    <n v="11379"/>
    <n v="86"/>
    <s v="Delivered"/>
    <s v="Medium"/>
    <s v="Bulk Order"/>
    <s v="Accessories-Mumbai"/>
    <s v="Acc"/>
    <m/>
  </r>
  <r>
    <x v="822"/>
    <s v="Coffee Mug"/>
    <x v="2"/>
    <n v="3804"/>
    <x v="0"/>
    <s v="2023-01-14"/>
    <x v="1"/>
    <x v="2"/>
    <n v="15216"/>
    <n v="62"/>
    <s v="Delivered"/>
    <s v="Medium"/>
    <s v="Bulk Order"/>
    <s v="Home-Kolkata"/>
    <s v="Hom"/>
    <m/>
  </r>
  <r>
    <x v="823"/>
    <s v="Laptop Stand"/>
    <x v="1"/>
    <n v="4529"/>
    <x v="0"/>
    <s v="2023-11-04"/>
    <x v="5"/>
    <x v="1"/>
    <n v="18116"/>
    <n v="33"/>
    <s v="Pending"/>
    <s v="High"/>
    <s v="Bulk Order"/>
    <s v="Fitness-Bangalore"/>
    <s v="Fit"/>
    <m/>
  </r>
  <r>
    <x v="824"/>
    <s v="Coffee Mug"/>
    <x v="3"/>
    <n v="3049"/>
    <x v="3"/>
    <s v="2023-07-05"/>
    <x v="0"/>
    <x v="1"/>
    <n v="3049"/>
    <n v="72"/>
    <s v="Delivered"/>
    <s v="Medium"/>
    <s v="Normal Order"/>
    <s v="Accessories-Chennai"/>
    <s v="Acc"/>
    <m/>
  </r>
  <r>
    <x v="825"/>
    <s v="Smartphone Case"/>
    <x v="3"/>
    <n v="3239"/>
    <x v="1"/>
    <s v="2023-10-17"/>
    <x v="0"/>
    <x v="1"/>
    <n v="9717"/>
    <n v="70"/>
    <s v="Delivered"/>
    <s v="High"/>
    <s v="Bulk Order"/>
    <s v="Accessories-Chennai"/>
    <s v="Acc"/>
    <m/>
  </r>
  <r>
    <x v="826"/>
    <s v="Water Bottle"/>
    <x v="2"/>
    <n v="533"/>
    <x v="2"/>
    <s v="2023-03-02"/>
    <x v="3"/>
    <x v="3"/>
    <n v="1066"/>
    <n v="20"/>
    <s v="Delivered"/>
    <s v="High"/>
    <s v="Normal Order"/>
    <s v="Home-Mumbai"/>
    <s v="Hom"/>
    <m/>
  </r>
  <r>
    <x v="827"/>
    <s v="Bluetooth Speaker"/>
    <x v="3"/>
    <n v="2985"/>
    <x v="1"/>
    <s v="2023-04-01"/>
    <x v="5"/>
    <x v="0"/>
    <n v="8955"/>
    <n v="73"/>
    <s v="Delivered"/>
    <s v="High"/>
    <s v="Bulk Order"/>
    <s v="Accessories-Bangalore"/>
    <s v="Acc"/>
    <m/>
  </r>
  <r>
    <x v="828"/>
    <s v="Wireless Earbuds"/>
    <x v="1"/>
    <n v="2451"/>
    <x v="2"/>
    <s v="2023-02-03"/>
    <x v="5"/>
    <x v="3"/>
    <n v="4902"/>
    <n v="45"/>
    <s v="Cancelled"/>
    <s v="Medium"/>
    <s v="Normal Order"/>
    <s v="Fitness-Bangalore"/>
    <s v="Fit"/>
    <m/>
  </r>
  <r>
    <x v="829"/>
    <s v="Fitness Band"/>
    <x v="3"/>
    <n v="4309"/>
    <x v="1"/>
    <s v="2023-02-28"/>
    <x v="2"/>
    <x v="1"/>
    <n v="12927"/>
    <n v="65"/>
    <s v="Delivered"/>
    <s v="Low"/>
    <s v="Bulk Order"/>
    <s v="Accessories-Hyderabad"/>
    <s v="Acc"/>
    <m/>
  </r>
  <r>
    <x v="830"/>
    <s v="Desk Organizer"/>
    <x v="4"/>
    <n v="3099"/>
    <x v="0"/>
    <s v="2023-03-30"/>
    <x v="4"/>
    <x v="2"/>
    <n v="12396"/>
    <n v="93"/>
    <s v="Delivered"/>
    <s v="Medium"/>
    <s v="Bulk Order"/>
    <s v="Electronics-Delhi"/>
    <s v="Ele"/>
    <m/>
  </r>
  <r>
    <x v="831"/>
    <s v="Bluetooth Speaker"/>
    <x v="3"/>
    <n v="4977"/>
    <x v="1"/>
    <s v="2023-11-18"/>
    <x v="5"/>
    <x v="1"/>
    <n v="14931"/>
    <n v="63"/>
    <s v="Delivered"/>
    <s v="Medium"/>
    <s v="Bulk Order"/>
    <s v="Accessories-Bangalore"/>
    <s v="Acc"/>
    <m/>
  </r>
  <r>
    <x v="832"/>
    <s v="Wireless Earbuds"/>
    <x v="2"/>
    <n v="1654"/>
    <x v="0"/>
    <s v="2023-08-29"/>
    <x v="2"/>
    <x v="3"/>
    <n v="6616"/>
    <n v="27"/>
    <s v="Delivered"/>
    <s v="Medium"/>
    <s v="Bulk Order"/>
    <s v="Home-Hyderabad"/>
    <s v="Hom"/>
    <m/>
  </r>
  <r>
    <x v="833"/>
    <s v="LED Bulb"/>
    <x v="2"/>
    <n v="1301"/>
    <x v="3"/>
    <s v="2023-11-09"/>
    <x v="5"/>
    <x v="2"/>
    <n v="1301"/>
    <n v="29"/>
    <s v="Delivered"/>
    <s v="High"/>
    <s v="Normal Order"/>
    <s v="Home-Bangalore"/>
    <s v="Hom"/>
    <m/>
  </r>
  <r>
    <x v="834"/>
    <s v="Power Bank"/>
    <x v="0"/>
    <n v="4036"/>
    <x v="1"/>
    <s v="2023-03-22"/>
    <x v="5"/>
    <x v="3"/>
    <n v="12108"/>
    <n v="90"/>
    <s v="Delivered"/>
    <s v="High"/>
    <s v="Bulk Order"/>
    <s v="Lifestyle-Bangalore"/>
    <s v="Lif"/>
    <m/>
  </r>
  <r>
    <x v="835"/>
    <s v="USB Cable"/>
    <x v="0"/>
    <n v="3690"/>
    <x v="0"/>
    <s v="2023-12-06"/>
    <x v="1"/>
    <x v="3"/>
    <n v="14760"/>
    <n v="92"/>
    <s v="Delivered"/>
    <s v="High"/>
    <s v="Bulk Order"/>
    <s v="Lifestyle-Kolkata"/>
    <s v="Lif"/>
    <m/>
  </r>
  <r>
    <x v="836"/>
    <s v="Laptop Stand"/>
    <x v="2"/>
    <n v="2592"/>
    <x v="0"/>
    <s v="2023-07-23"/>
    <x v="3"/>
    <x v="3"/>
    <n v="10368"/>
    <n v="38"/>
    <s v="Delivered"/>
    <s v="Low"/>
    <s v="Bulk Order"/>
    <s v="Home-Mumbai"/>
    <s v="Hom"/>
    <m/>
  </r>
  <r>
    <x v="837"/>
    <s v="Wireless Earbuds"/>
    <x v="2"/>
    <n v="3598"/>
    <x v="1"/>
    <s v="2023-12-11"/>
    <x v="2"/>
    <x v="3"/>
    <n v="10794"/>
    <n v="43"/>
    <s v="Delivered"/>
    <s v="High"/>
    <s v="Bulk Order"/>
    <s v="Home-Hyderabad"/>
    <s v="Hom"/>
    <m/>
  </r>
  <r>
    <x v="838"/>
    <s v="Power Bank"/>
    <x v="2"/>
    <n v="4915"/>
    <x v="3"/>
    <s v="2023-11-25"/>
    <x v="1"/>
    <x v="0"/>
    <n v="4915"/>
    <n v="81"/>
    <s v="Delivered"/>
    <s v="High"/>
    <s v="Normal Order"/>
    <s v="Home-Kolkata"/>
    <s v="Hom"/>
    <m/>
  </r>
  <r>
    <x v="839"/>
    <s v="Power Bank"/>
    <x v="0"/>
    <n v="4018"/>
    <x v="3"/>
    <s v="2023-02-19"/>
    <x v="0"/>
    <x v="3"/>
    <n v="4018"/>
    <n v="75"/>
    <s v="Pending"/>
    <s v="High"/>
    <s v="Normal Order"/>
    <s v="Lifestyle-Chennai"/>
    <s v="Lif"/>
    <m/>
  </r>
  <r>
    <x v="840"/>
    <s v="USB Cable"/>
    <x v="4"/>
    <n v="636"/>
    <x v="1"/>
    <s v="2023-06-15"/>
    <x v="0"/>
    <x v="0"/>
    <n v="1908"/>
    <n v="92"/>
    <s v="Delivered"/>
    <s v="Medium"/>
    <s v="Bulk Order"/>
    <s v="Electronics-Chennai"/>
    <s v="Ele"/>
    <m/>
  </r>
  <r>
    <x v="841"/>
    <s v="Fitness Band"/>
    <x v="2"/>
    <n v="4910"/>
    <x v="0"/>
    <s v="2023-04-12"/>
    <x v="1"/>
    <x v="3"/>
    <n v="19640"/>
    <n v="82"/>
    <s v="Cancelled"/>
    <s v="Medium"/>
    <s v="Bulk Order"/>
    <s v="Home-Kolkata"/>
    <s v="Hom"/>
    <m/>
  </r>
  <r>
    <x v="842"/>
    <s v="Power Bank"/>
    <x v="4"/>
    <n v="827"/>
    <x v="2"/>
    <s v="2023-02-13"/>
    <x v="4"/>
    <x v="2"/>
    <n v="1654"/>
    <n v="39"/>
    <s v="Delivered"/>
    <s v="Low"/>
    <s v="Normal Order"/>
    <s v="Electronics-Delhi"/>
    <s v="Ele"/>
    <m/>
  </r>
  <r>
    <x v="843"/>
    <s v="Power Bank"/>
    <x v="2"/>
    <n v="3526"/>
    <x v="1"/>
    <s v="2023-07-11"/>
    <x v="0"/>
    <x v="0"/>
    <n v="10578"/>
    <n v="40"/>
    <s v="Delivered"/>
    <s v="Medium"/>
    <s v="Bulk Order"/>
    <s v="Home-Chennai"/>
    <s v="Hom"/>
    <m/>
  </r>
  <r>
    <x v="844"/>
    <s v="USB Cable"/>
    <x v="4"/>
    <n v="3264"/>
    <x v="3"/>
    <s v="2023-01-23"/>
    <x v="2"/>
    <x v="3"/>
    <n v="3264"/>
    <n v="25"/>
    <s v="Delivered"/>
    <s v="Low"/>
    <s v="Normal Order"/>
    <s v="Electronics-Hyderabad"/>
    <s v="Ele"/>
    <m/>
  </r>
  <r>
    <x v="845"/>
    <s v="Wireless Earbuds"/>
    <x v="3"/>
    <n v="4095"/>
    <x v="1"/>
    <s v="2023-02-02"/>
    <x v="3"/>
    <x v="0"/>
    <n v="12285"/>
    <n v="21"/>
    <s v="Delivered"/>
    <s v="Medium"/>
    <s v="Bulk Order"/>
    <s v="Accessories-Mumbai"/>
    <s v="Acc"/>
    <m/>
  </r>
  <r>
    <x v="846"/>
    <s v="Fitness Band"/>
    <x v="1"/>
    <n v="843"/>
    <x v="3"/>
    <s v="2023-12-20"/>
    <x v="2"/>
    <x v="3"/>
    <n v="843"/>
    <n v="68"/>
    <s v="Cancelled"/>
    <s v="Medium"/>
    <s v="Normal Order"/>
    <s v="Fitness-Hyderabad"/>
    <s v="Fit"/>
    <m/>
  </r>
  <r>
    <x v="847"/>
    <s v="Laptop Stand"/>
    <x v="0"/>
    <n v="3890"/>
    <x v="3"/>
    <s v="2023-10-02"/>
    <x v="1"/>
    <x v="1"/>
    <n v="3890"/>
    <n v="66"/>
    <s v="Delivered"/>
    <s v="Medium"/>
    <s v="Normal Order"/>
    <s v="Lifestyle-Kolkata"/>
    <s v="Lif"/>
    <m/>
  </r>
  <r>
    <x v="848"/>
    <s v="Wireless Earbuds"/>
    <x v="4"/>
    <n v="4171"/>
    <x v="0"/>
    <s v="2023-01-14"/>
    <x v="4"/>
    <x v="0"/>
    <n v="16684"/>
    <n v="84"/>
    <s v="Delivered"/>
    <s v="Medium"/>
    <s v="Bulk Order"/>
    <s v="Electronics-Delhi"/>
    <s v="Ele"/>
    <m/>
  </r>
  <r>
    <x v="849"/>
    <s v="Backpack"/>
    <x v="1"/>
    <n v="1577"/>
    <x v="1"/>
    <s v="2023-07-22"/>
    <x v="0"/>
    <x v="3"/>
    <n v="4731"/>
    <n v="26"/>
    <s v="Cancelled"/>
    <s v="Low"/>
    <s v="Bulk Order"/>
    <s v="Fitness-Chennai"/>
    <s v="Fit"/>
    <m/>
  </r>
  <r>
    <x v="850"/>
    <s v="Desk Organizer"/>
    <x v="3"/>
    <n v="1773"/>
    <x v="3"/>
    <s v="2023-04-05"/>
    <x v="1"/>
    <x v="2"/>
    <n v="1773"/>
    <n v="56"/>
    <s v="Delivered"/>
    <s v="Low"/>
    <s v="Normal Order"/>
    <s v="Accessories-Kolkata"/>
    <s v="Acc"/>
    <m/>
  </r>
  <r>
    <x v="851"/>
    <s v="Bluetooth Speaker"/>
    <x v="0"/>
    <n v="695"/>
    <x v="1"/>
    <s v="2023-05-12"/>
    <x v="1"/>
    <x v="3"/>
    <n v="2085"/>
    <n v="20"/>
    <s v="Pending"/>
    <s v="High"/>
    <s v="Bulk Order"/>
    <s v="Lifestyle-Kolkata"/>
    <s v="Lif"/>
    <m/>
  </r>
  <r>
    <x v="852"/>
    <s v="Bluetooth Speaker"/>
    <x v="3"/>
    <n v="491"/>
    <x v="2"/>
    <s v="2023-11-23"/>
    <x v="0"/>
    <x v="3"/>
    <n v="982"/>
    <n v="35"/>
    <s v="Delivered"/>
    <s v="High"/>
    <s v="Normal Order"/>
    <s v="Accessories-Chennai"/>
    <s v="Acc"/>
    <m/>
  </r>
  <r>
    <x v="853"/>
    <s v="Fitness Band"/>
    <x v="4"/>
    <n v="4318"/>
    <x v="1"/>
    <s v="2023-06-18"/>
    <x v="0"/>
    <x v="3"/>
    <n v="12954"/>
    <n v="40"/>
    <s v="Delivered"/>
    <s v="High"/>
    <s v="Bulk Order"/>
    <s v="Electronics-Chennai"/>
    <s v="Ele"/>
    <m/>
  </r>
  <r>
    <x v="854"/>
    <s v="USB Cable"/>
    <x v="3"/>
    <n v="2703"/>
    <x v="0"/>
    <s v="2023-08-10"/>
    <x v="2"/>
    <x v="0"/>
    <n v="10812"/>
    <n v="85"/>
    <s v="Delivered"/>
    <s v="Medium"/>
    <s v="Bulk Order"/>
    <s v="Accessories-Hyderabad"/>
    <s v="Acc"/>
    <m/>
  </r>
  <r>
    <x v="855"/>
    <s v="Power Bank"/>
    <x v="2"/>
    <n v="3174"/>
    <x v="0"/>
    <s v="2023-02-28"/>
    <x v="4"/>
    <x v="0"/>
    <n v="12696"/>
    <n v="22"/>
    <s v="Delivered"/>
    <s v="High"/>
    <s v="Bulk Order"/>
    <s v="Home-Delhi"/>
    <s v="Hom"/>
    <m/>
  </r>
  <r>
    <x v="856"/>
    <s v="USB Cable"/>
    <x v="2"/>
    <n v="2632"/>
    <x v="0"/>
    <s v="2023-01-23"/>
    <x v="5"/>
    <x v="3"/>
    <n v="10528"/>
    <n v="35"/>
    <s v="Delivered"/>
    <s v="Medium"/>
    <s v="Bulk Order"/>
    <s v="Home-Bangalore"/>
    <s v="Hom"/>
    <m/>
  </r>
  <r>
    <x v="857"/>
    <s v="Coffee Mug"/>
    <x v="2"/>
    <n v="2218"/>
    <x v="1"/>
    <s v="2023-08-09"/>
    <x v="1"/>
    <x v="0"/>
    <n v="6654"/>
    <n v="90"/>
    <s v="Pending"/>
    <s v="Medium"/>
    <s v="Bulk Order"/>
    <s v="Home-Kolkata"/>
    <s v="Hom"/>
    <m/>
  </r>
  <r>
    <x v="858"/>
    <s v="Power Bank"/>
    <x v="3"/>
    <n v="550"/>
    <x v="1"/>
    <s v="2023-09-12"/>
    <x v="5"/>
    <x v="0"/>
    <n v="1650"/>
    <n v="42"/>
    <s v="Pending"/>
    <s v="Medium"/>
    <s v="Bulk Order"/>
    <s v="Accessories-Bangalore"/>
    <s v="Acc"/>
    <m/>
  </r>
  <r>
    <x v="859"/>
    <s v="Coffee Mug"/>
    <x v="3"/>
    <n v="4815"/>
    <x v="1"/>
    <s v="2023-07-28"/>
    <x v="5"/>
    <x v="0"/>
    <n v="14445"/>
    <n v="97"/>
    <s v="Delivered"/>
    <s v="High"/>
    <s v="Bulk Order"/>
    <s v="Accessories-Bangalore"/>
    <s v="Acc"/>
    <m/>
  </r>
  <r>
    <x v="860"/>
    <s v="LED Bulb"/>
    <x v="1"/>
    <n v="4425"/>
    <x v="2"/>
    <s v="2023-11-03"/>
    <x v="5"/>
    <x v="3"/>
    <n v="8850"/>
    <n v="96"/>
    <s v="Delivered"/>
    <s v="Medium"/>
    <s v="Normal Order"/>
    <s v="Fitness-Bangalore"/>
    <s v="Fit"/>
    <m/>
  </r>
  <r>
    <x v="861"/>
    <s v="Power Bank"/>
    <x v="1"/>
    <n v="812"/>
    <x v="1"/>
    <s v="2023-06-16"/>
    <x v="2"/>
    <x v="2"/>
    <n v="2436"/>
    <n v="75"/>
    <s v="Delivered"/>
    <s v="High"/>
    <s v="Bulk Order"/>
    <s v="Fitness-Hyderabad"/>
    <s v="Fit"/>
    <m/>
  </r>
  <r>
    <x v="862"/>
    <s v="Desk Organizer"/>
    <x v="1"/>
    <n v="4715"/>
    <x v="0"/>
    <s v="2023-04-13"/>
    <x v="4"/>
    <x v="1"/>
    <n v="18860"/>
    <n v="43"/>
    <s v="Delivered"/>
    <s v="Medium"/>
    <s v="Bulk Order"/>
    <s v="Fitness-Delhi"/>
    <s v="Fit"/>
    <m/>
  </r>
  <r>
    <x v="863"/>
    <s v="Desk Organizer"/>
    <x v="0"/>
    <n v="225"/>
    <x v="2"/>
    <s v="2023-04-21"/>
    <x v="4"/>
    <x v="3"/>
    <n v="450"/>
    <n v="74"/>
    <s v="Cancelled"/>
    <s v="Medium"/>
    <s v="Normal Order"/>
    <s v="Lifestyle-Delhi"/>
    <s v="Lif"/>
    <m/>
  </r>
  <r>
    <x v="864"/>
    <s v="LED Bulb"/>
    <x v="1"/>
    <n v="334"/>
    <x v="1"/>
    <s v="2023-11-11"/>
    <x v="5"/>
    <x v="1"/>
    <n v="1002"/>
    <n v="74"/>
    <s v="Delivered"/>
    <s v="Medium"/>
    <s v="Bulk Order"/>
    <s v="Fitness-Bangalore"/>
    <s v="Fit"/>
    <m/>
  </r>
  <r>
    <x v="865"/>
    <s v="Laptop Stand"/>
    <x v="3"/>
    <n v="3889"/>
    <x v="0"/>
    <s v="2023-11-29"/>
    <x v="5"/>
    <x v="2"/>
    <n v="15556"/>
    <n v="82"/>
    <s v="Pending"/>
    <s v="Medium"/>
    <s v="Bulk Order"/>
    <s v="Accessories-Bangalore"/>
    <s v="Acc"/>
    <m/>
  </r>
  <r>
    <x v="866"/>
    <s v="LED Bulb"/>
    <x v="3"/>
    <n v="4576"/>
    <x v="3"/>
    <s v="2023-05-21"/>
    <x v="2"/>
    <x v="3"/>
    <n v="4576"/>
    <n v="76"/>
    <s v="Delivered"/>
    <s v="Medium"/>
    <s v="Normal Order"/>
    <s v="Accessories-Hyderabad"/>
    <s v="Acc"/>
    <m/>
  </r>
  <r>
    <x v="867"/>
    <s v="Backpack"/>
    <x v="1"/>
    <n v="3914"/>
    <x v="1"/>
    <s v="2023-09-28"/>
    <x v="2"/>
    <x v="3"/>
    <n v="11742"/>
    <n v="30"/>
    <s v="Pending"/>
    <s v="Medium"/>
    <s v="Bulk Order"/>
    <s v="Fitness-Hyderabad"/>
    <s v="Fit"/>
    <m/>
  </r>
  <r>
    <x v="868"/>
    <s v="Power Bank"/>
    <x v="0"/>
    <n v="3863"/>
    <x v="3"/>
    <s v="2023-04-08"/>
    <x v="4"/>
    <x v="3"/>
    <n v="3863"/>
    <n v="78"/>
    <s v="Delivered"/>
    <s v="Medium"/>
    <s v="Normal Order"/>
    <s v="Lifestyle-Delhi"/>
    <s v="Lif"/>
    <m/>
  </r>
  <r>
    <x v="869"/>
    <s v="Fitness Band"/>
    <x v="3"/>
    <n v="2872"/>
    <x v="1"/>
    <s v="2023-07-13"/>
    <x v="4"/>
    <x v="2"/>
    <n v="8616"/>
    <n v="56"/>
    <s v="Delivered"/>
    <s v="Low"/>
    <s v="Bulk Order"/>
    <s v="Accessories-Delhi"/>
    <s v="Acc"/>
    <m/>
  </r>
  <r>
    <x v="870"/>
    <s v="Power Bank"/>
    <x v="4"/>
    <n v="961"/>
    <x v="3"/>
    <s v="2023-08-02"/>
    <x v="4"/>
    <x v="2"/>
    <n v="961"/>
    <n v="85"/>
    <s v="Pending"/>
    <s v="Low"/>
    <s v="Normal Order"/>
    <s v="Electronics-Delhi"/>
    <s v="Ele"/>
    <m/>
  </r>
  <r>
    <x v="871"/>
    <s v="Smartphone Case"/>
    <x v="3"/>
    <n v="2035"/>
    <x v="3"/>
    <s v="2023-11-08"/>
    <x v="3"/>
    <x v="3"/>
    <n v="2035"/>
    <n v="44"/>
    <s v="Cancelled"/>
    <s v="Medium"/>
    <s v="Normal Order"/>
    <s v="Accessories-Mumbai"/>
    <s v="Acc"/>
    <m/>
  </r>
  <r>
    <x v="872"/>
    <s v="Power Bank"/>
    <x v="3"/>
    <n v="2955"/>
    <x v="1"/>
    <s v="2023-10-02"/>
    <x v="5"/>
    <x v="0"/>
    <n v="8865"/>
    <n v="44"/>
    <s v="Delivered"/>
    <s v="Medium"/>
    <s v="Bulk Order"/>
    <s v="Accessories-Bangalore"/>
    <s v="Acc"/>
    <m/>
  </r>
  <r>
    <x v="873"/>
    <s v="Water Bottle"/>
    <x v="3"/>
    <n v="3597"/>
    <x v="0"/>
    <s v="2023-06-16"/>
    <x v="0"/>
    <x v="2"/>
    <n v="14388"/>
    <n v="59"/>
    <s v="Pending"/>
    <s v="Medium"/>
    <s v="Bulk Order"/>
    <s v="Accessories-Chennai"/>
    <s v="Acc"/>
    <m/>
  </r>
  <r>
    <x v="874"/>
    <s v="Desk Organizer"/>
    <x v="2"/>
    <n v="2399"/>
    <x v="2"/>
    <s v="2023-10-13"/>
    <x v="4"/>
    <x v="0"/>
    <n v="4798"/>
    <n v="52"/>
    <s v="Delivered"/>
    <s v="High"/>
    <s v="Normal Order"/>
    <s v="Home-Delhi"/>
    <s v="Hom"/>
    <m/>
  </r>
  <r>
    <x v="875"/>
    <s v="Bluetooth Speaker"/>
    <x v="3"/>
    <n v="4909"/>
    <x v="2"/>
    <s v="2023-05-22"/>
    <x v="5"/>
    <x v="2"/>
    <n v="9818"/>
    <n v="65"/>
    <s v="Pending"/>
    <s v="Medium"/>
    <s v="Normal Order"/>
    <s v="Accessories-Bangalore"/>
    <s v="Acc"/>
    <m/>
  </r>
  <r>
    <x v="876"/>
    <s v="USB Cable"/>
    <x v="2"/>
    <n v="4965"/>
    <x v="1"/>
    <s v="2023-08-22"/>
    <x v="5"/>
    <x v="1"/>
    <n v="14895"/>
    <n v="71"/>
    <s v="Delivered"/>
    <s v="Low"/>
    <s v="Bulk Order"/>
    <s v="Home-Bangalore"/>
    <s v="Hom"/>
    <m/>
  </r>
  <r>
    <x v="877"/>
    <s v="Water Bottle"/>
    <x v="0"/>
    <n v="1282"/>
    <x v="1"/>
    <s v="2023-05-24"/>
    <x v="2"/>
    <x v="1"/>
    <n v="3846"/>
    <n v="64"/>
    <s v="Delivered"/>
    <s v="Low"/>
    <s v="Bulk Order"/>
    <s v="Lifestyle-Hyderabad"/>
    <s v="Lif"/>
    <m/>
  </r>
  <r>
    <x v="878"/>
    <s v="LED Bulb"/>
    <x v="0"/>
    <n v="3074"/>
    <x v="0"/>
    <s v="2023-12-26"/>
    <x v="5"/>
    <x v="2"/>
    <n v="12296"/>
    <n v="24"/>
    <s v="Delivered"/>
    <s v="High"/>
    <s v="Bulk Order"/>
    <s v="Lifestyle-Bangalore"/>
    <s v="Lif"/>
    <m/>
  </r>
  <r>
    <x v="879"/>
    <s v="Smartphone Case"/>
    <x v="0"/>
    <n v="2651"/>
    <x v="3"/>
    <s v="2023-09-03"/>
    <x v="4"/>
    <x v="3"/>
    <n v="2651"/>
    <n v="36"/>
    <s v="Pending"/>
    <s v="Low"/>
    <s v="Normal Order"/>
    <s v="Lifestyle-Delhi"/>
    <s v="Lif"/>
    <m/>
  </r>
  <r>
    <x v="880"/>
    <s v="Power Bank"/>
    <x v="1"/>
    <n v="1092"/>
    <x v="2"/>
    <s v="2023-06-13"/>
    <x v="4"/>
    <x v="3"/>
    <n v="2184"/>
    <n v="70"/>
    <s v="Pending"/>
    <s v="High"/>
    <s v="Normal Order"/>
    <s v="Fitness-Delhi"/>
    <s v="Fit"/>
    <m/>
  </r>
  <r>
    <x v="881"/>
    <s v="Power Bank"/>
    <x v="2"/>
    <n v="586"/>
    <x v="3"/>
    <s v="2023-01-26"/>
    <x v="5"/>
    <x v="3"/>
    <n v="586"/>
    <n v="57"/>
    <s v="Cancelled"/>
    <s v="Low"/>
    <s v="Normal Order"/>
    <s v="Home-Bangalore"/>
    <s v="Hom"/>
    <m/>
  </r>
  <r>
    <x v="882"/>
    <s v="Coffee Mug"/>
    <x v="4"/>
    <n v="676"/>
    <x v="1"/>
    <s v="2023-01-04"/>
    <x v="3"/>
    <x v="1"/>
    <n v="2028"/>
    <n v="78"/>
    <s v="Delivered"/>
    <s v="High"/>
    <s v="Bulk Order"/>
    <s v="Electronics-Mumbai"/>
    <s v="Ele"/>
    <m/>
  </r>
  <r>
    <x v="883"/>
    <s v="Wireless Earbuds"/>
    <x v="0"/>
    <n v="3143"/>
    <x v="1"/>
    <s v="2023-01-16"/>
    <x v="5"/>
    <x v="0"/>
    <n v="9429"/>
    <n v="88"/>
    <s v="Delivered"/>
    <s v="Medium"/>
    <s v="Bulk Order"/>
    <s v="Lifestyle-Bangalore"/>
    <s v="Lif"/>
    <m/>
  </r>
  <r>
    <x v="884"/>
    <s v="Bluetooth Speaker"/>
    <x v="1"/>
    <n v="1651"/>
    <x v="0"/>
    <s v="2023-06-07"/>
    <x v="4"/>
    <x v="1"/>
    <n v="6604"/>
    <n v="83"/>
    <s v="Pending"/>
    <s v="High"/>
    <s v="Bulk Order"/>
    <s v="Fitness-Delhi"/>
    <s v="Fit"/>
    <m/>
  </r>
  <r>
    <x v="885"/>
    <s v="Coffee Mug"/>
    <x v="0"/>
    <n v="3067"/>
    <x v="2"/>
    <s v="2023-02-17"/>
    <x v="1"/>
    <x v="1"/>
    <n v="6134"/>
    <n v="29"/>
    <s v="Delivered"/>
    <s v="Medium"/>
    <s v="Normal Order"/>
    <s v="Lifestyle-Kolkata"/>
    <s v="Lif"/>
    <m/>
  </r>
  <r>
    <x v="886"/>
    <s v="Smartphone Case"/>
    <x v="0"/>
    <n v="773"/>
    <x v="1"/>
    <s v="2023-05-02"/>
    <x v="2"/>
    <x v="1"/>
    <n v="2319"/>
    <n v="88"/>
    <s v="Pending"/>
    <s v="Low"/>
    <s v="Bulk Order"/>
    <s v="Lifestyle-Hyderabad"/>
    <s v="Lif"/>
    <m/>
  </r>
  <r>
    <x v="887"/>
    <s v="USB Cable"/>
    <x v="4"/>
    <n v="3241"/>
    <x v="0"/>
    <s v="2023-03-02"/>
    <x v="2"/>
    <x v="1"/>
    <n v="12964"/>
    <n v="91"/>
    <s v="Delivered"/>
    <s v="Low"/>
    <s v="Bulk Order"/>
    <s v="Electronics-Hyderabad"/>
    <s v="Ele"/>
    <m/>
  </r>
  <r>
    <x v="888"/>
    <s v="Laptop Stand"/>
    <x v="0"/>
    <n v="2865"/>
    <x v="1"/>
    <s v="2023-12-25"/>
    <x v="0"/>
    <x v="2"/>
    <n v="8595"/>
    <n v="76"/>
    <s v="Delivered"/>
    <s v="Medium"/>
    <s v="Bulk Order"/>
    <s v="Lifestyle-Chennai"/>
    <s v="Lif"/>
    <m/>
  </r>
  <r>
    <x v="889"/>
    <s v="USB Cable"/>
    <x v="0"/>
    <n v="2462"/>
    <x v="2"/>
    <s v="2023-10-26"/>
    <x v="3"/>
    <x v="1"/>
    <n v="4924"/>
    <n v="49"/>
    <s v="Delivered"/>
    <s v="Low"/>
    <s v="Normal Order"/>
    <s v="Lifestyle-Mumbai"/>
    <s v="Lif"/>
    <m/>
  </r>
  <r>
    <x v="890"/>
    <s v="Desk Organizer"/>
    <x v="1"/>
    <n v="3988"/>
    <x v="1"/>
    <s v="2023-10-17"/>
    <x v="1"/>
    <x v="0"/>
    <n v="11964"/>
    <n v="31"/>
    <s v="Pending"/>
    <s v="Medium"/>
    <s v="Bulk Order"/>
    <s v="Fitness-Kolkata"/>
    <s v="Fit"/>
    <m/>
  </r>
  <r>
    <x v="891"/>
    <s v="LED Bulb"/>
    <x v="4"/>
    <n v="2113"/>
    <x v="3"/>
    <s v="2023-07-20"/>
    <x v="2"/>
    <x v="2"/>
    <n v="2113"/>
    <n v="86"/>
    <s v="Delivered"/>
    <s v="Medium"/>
    <s v="Normal Order"/>
    <s v="Electronics-Hyderabad"/>
    <s v="Ele"/>
    <m/>
  </r>
  <r>
    <x v="892"/>
    <s v="Bluetooth Speaker"/>
    <x v="2"/>
    <n v="4966"/>
    <x v="0"/>
    <s v="2023-06-12"/>
    <x v="2"/>
    <x v="1"/>
    <n v="19864"/>
    <n v="20"/>
    <s v="Delivered"/>
    <s v="High"/>
    <s v="Bulk Order"/>
    <s v="Home-Hyderabad"/>
    <s v="Hom"/>
    <m/>
  </r>
  <r>
    <x v="893"/>
    <s v="Smartphone Case"/>
    <x v="4"/>
    <n v="1312"/>
    <x v="1"/>
    <s v="2023-09-10"/>
    <x v="3"/>
    <x v="2"/>
    <n v="3936"/>
    <n v="69"/>
    <s v="Pending"/>
    <s v="Low"/>
    <s v="Bulk Order"/>
    <s v="Electronics-Mumbai"/>
    <s v="Ele"/>
    <m/>
  </r>
  <r>
    <x v="894"/>
    <s v="Backpack"/>
    <x v="2"/>
    <n v="2820"/>
    <x v="1"/>
    <s v="2023-09-01"/>
    <x v="3"/>
    <x v="2"/>
    <n v="8460"/>
    <n v="39"/>
    <s v="Delivered"/>
    <s v="Medium"/>
    <s v="Bulk Order"/>
    <s v="Home-Mumbai"/>
    <s v="Hom"/>
    <m/>
  </r>
  <r>
    <x v="895"/>
    <s v="Coffee Mug"/>
    <x v="4"/>
    <n v="4538"/>
    <x v="2"/>
    <s v="2023-06-04"/>
    <x v="0"/>
    <x v="0"/>
    <n v="9076"/>
    <n v="47"/>
    <s v="Delivered"/>
    <s v="High"/>
    <s v="Normal Order"/>
    <s v="Electronics-Chennai"/>
    <s v="Ele"/>
    <m/>
  </r>
  <r>
    <x v="896"/>
    <s v="Water Bottle"/>
    <x v="3"/>
    <n v="2247"/>
    <x v="2"/>
    <s v="2023-06-07"/>
    <x v="3"/>
    <x v="0"/>
    <n v="4494"/>
    <n v="20"/>
    <s v="Pending"/>
    <s v="High"/>
    <s v="Normal Order"/>
    <s v="Accessories-Mumbai"/>
    <s v="Acc"/>
    <m/>
  </r>
  <r>
    <x v="897"/>
    <s v="Fitness Band"/>
    <x v="3"/>
    <n v="2613"/>
    <x v="2"/>
    <s v="2023-04-12"/>
    <x v="0"/>
    <x v="2"/>
    <n v="5226"/>
    <n v="97"/>
    <s v="Delivered"/>
    <s v="High"/>
    <s v="Normal Order"/>
    <s v="Accessories-Chennai"/>
    <s v="Acc"/>
    <m/>
  </r>
  <r>
    <x v="898"/>
    <s v="USB Cable"/>
    <x v="0"/>
    <n v="2809"/>
    <x v="3"/>
    <s v="2023-10-15"/>
    <x v="1"/>
    <x v="0"/>
    <n v="2809"/>
    <n v="24"/>
    <s v="Delivered"/>
    <s v="Medium"/>
    <s v="Normal Order"/>
    <s v="Lifestyle-Kolkata"/>
    <s v="Lif"/>
    <m/>
  </r>
  <r>
    <x v="899"/>
    <s v="Smartphone Case"/>
    <x v="0"/>
    <n v="1015"/>
    <x v="0"/>
    <s v="2023-04-26"/>
    <x v="0"/>
    <x v="0"/>
    <n v="4060"/>
    <n v="43"/>
    <s v="Delivered"/>
    <s v="Medium"/>
    <s v="Bulk Order"/>
    <s v="Lifestyle-Chennai"/>
    <s v="Lif"/>
    <m/>
  </r>
  <r>
    <x v="900"/>
    <s v="LED Bulb"/>
    <x v="3"/>
    <n v="3334"/>
    <x v="3"/>
    <s v="2023-08-23"/>
    <x v="4"/>
    <x v="3"/>
    <n v="3334"/>
    <n v="56"/>
    <s v="Pending"/>
    <s v="High"/>
    <s v="Normal Order"/>
    <s v="Accessories-Delhi"/>
    <s v="Acc"/>
    <m/>
  </r>
  <r>
    <x v="901"/>
    <s v="Power Bank"/>
    <x v="2"/>
    <n v="743"/>
    <x v="0"/>
    <s v="2023-02-11"/>
    <x v="5"/>
    <x v="1"/>
    <n v="2972"/>
    <n v="85"/>
    <s v="Pending"/>
    <s v="Medium"/>
    <s v="Bulk Order"/>
    <s v="Home-Bangalore"/>
    <s v="Hom"/>
    <m/>
  </r>
  <r>
    <x v="902"/>
    <s v="Fitness Band"/>
    <x v="2"/>
    <n v="3445"/>
    <x v="1"/>
    <s v="2023-06-20"/>
    <x v="2"/>
    <x v="2"/>
    <n v="10335"/>
    <n v="58"/>
    <s v="Cancelled"/>
    <s v="High"/>
    <s v="Bulk Order"/>
    <s v="Home-Hyderabad"/>
    <s v="Hom"/>
    <m/>
  </r>
  <r>
    <x v="903"/>
    <s v="Coffee Mug"/>
    <x v="0"/>
    <n v="3351"/>
    <x v="1"/>
    <s v="2023-02-28"/>
    <x v="3"/>
    <x v="2"/>
    <n v="10053"/>
    <n v="55"/>
    <s v="Delivered"/>
    <s v="Medium"/>
    <s v="Bulk Order"/>
    <s v="Lifestyle-Mumbai"/>
    <s v="Lif"/>
    <m/>
  </r>
  <r>
    <x v="904"/>
    <s v="Laptop Stand"/>
    <x v="4"/>
    <n v="1976"/>
    <x v="3"/>
    <s v="2023-05-27"/>
    <x v="5"/>
    <x v="2"/>
    <n v="1976"/>
    <n v="91"/>
    <s v="Delivered"/>
    <s v="Low"/>
    <s v="Normal Order"/>
    <s v="Electronics-Bangalore"/>
    <s v="Ele"/>
    <m/>
  </r>
  <r>
    <x v="905"/>
    <s v="Laptop Stand"/>
    <x v="3"/>
    <n v="2388"/>
    <x v="1"/>
    <s v="2023-09-16"/>
    <x v="2"/>
    <x v="1"/>
    <n v="7164"/>
    <n v="96"/>
    <s v="Pending"/>
    <s v="Medium"/>
    <s v="Bulk Order"/>
    <s v="Accessories-Hyderabad"/>
    <s v="Acc"/>
    <m/>
  </r>
  <r>
    <x v="906"/>
    <s v="Laptop Stand"/>
    <x v="4"/>
    <n v="2654"/>
    <x v="1"/>
    <s v="2023-02-02"/>
    <x v="3"/>
    <x v="1"/>
    <n v="7962"/>
    <n v="29"/>
    <s v="Delivered"/>
    <s v="Medium"/>
    <s v="Bulk Order"/>
    <s v="Electronics-Mumbai"/>
    <s v="Ele"/>
    <m/>
  </r>
  <r>
    <x v="907"/>
    <s v="Wireless Earbuds"/>
    <x v="1"/>
    <n v="2913"/>
    <x v="0"/>
    <s v="2023-08-29"/>
    <x v="2"/>
    <x v="1"/>
    <n v="11652"/>
    <n v="90"/>
    <s v="Delivered"/>
    <s v="Medium"/>
    <s v="Bulk Order"/>
    <s v="Fitness-Hyderabad"/>
    <s v="Fit"/>
    <m/>
  </r>
  <r>
    <x v="908"/>
    <s v="USB Cable"/>
    <x v="0"/>
    <n v="319"/>
    <x v="2"/>
    <s v="2023-03-02"/>
    <x v="3"/>
    <x v="2"/>
    <n v="638"/>
    <n v="68"/>
    <s v="Delivered"/>
    <s v="Medium"/>
    <s v="Normal Order"/>
    <s v="Lifestyle-Mumbai"/>
    <s v="Lif"/>
    <m/>
  </r>
  <r>
    <x v="909"/>
    <s v="Power Bank"/>
    <x v="3"/>
    <n v="2226"/>
    <x v="2"/>
    <s v="2023-02-15"/>
    <x v="4"/>
    <x v="1"/>
    <n v="4452"/>
    <n v="76"/>
    <s v="Delivered"/>
    <s v="Medium"/>
    <s v="Normal Order"/>
    <s v="Accessories-Delhi"/>
    <s v="Acc"/>
    <m/>
  </r>
  <r>
    <x v="910"/>
    <s v="Water Bottle"/>
    <x v="2"/>
    <n v="952"/>
    <x v="1"/>
    <s v="2023-04-28"/>
    <x v="0"/>
    <x v="0"/>
    <n v="2856"/>
    <n v="94"/>
    <s v="Delivered"/>
    <s v="High"/>
    <s v="Bulk Order"/>
    <s v="Home-Chennai"/>
    <s v="Hom"/>
    <m/>
  </r>
  <r>
    <x v="911"/>
    <s v="LED Bulb"/>
    <x v="3"/>
    <n v="1184"/>
    <x v="0"/>
    <s v="2023-06-01"/>
    <x v="0"/>
    <x v="2"/>
    <n v="4736"/>
    <n v="86"/>
    <s v="Delivered"/>
    <s v="Low"/>
    <s v="Bulk Order"/>
    <s v="Accessories-Chennai"/>
    <s v="Acc"/>
    <m/>
  </r>
  <r>
    <x v="912"/>
    <s v="Water Bottle"/>
    <x v="0"/>
    <n v="1404"/>
    <x v="0"/>
    <s v="2023-11-28"/>
    <x v="0"/>
    <x v="1"/>
    <n v="5616"/>
    <n v="73"/>
    <s v="Delivered"/>
    <s v="Low"/>
    <s v="Bulk Order"/>
    <s v="Lifestyle-Chennai"/>
    <s v="Lif"/>
    <m/>
  </r>
  <r>
    <x v="913"/>
    <s v="Wireless Earbuds"/>
    <x v="2"/>
    <n v="1990"/>
    <x v="0"/>
    <s v="2023-07-10"/>
    <x v="3"/>
    <x v="0"/>
    <n v="7960"/>
    <n v="31"/>
    <s v="Delivered"/>
    <s v="Low"/>
    <s v="Bulk Order"/>
    <s v="Home-Mumbai"/>
    <s v="Hom"/>
    <m/>
  </r>
  <r>
    <x v="914"/>
    <s v="Backpack"/>
    <x v="1"/>
    <n v="3629"/>
    <x v="3"/>
    <s v="2023-07-10"/>
    <x v="4"/>
    <x v="0"/>
    <n v="3629"/>
    <n v="35"/>
    <s v="Pending"/>
    <s v="High"/>
    <s v="Normal Order"/>
    <s v="Fitness-Delhi"/>
    <s v="Fit"/>
    <m/>
  </r>
  <r>
    <x v="915"/>
    <s v="USB Cable"/>
    <x v="1"/>
    <n v="2308"/>
    <x v="2"/>
    <s v="2023-04-10"/>
    <x v="3"/>
    <x v="3"/>
    <n v="4616"/>
    <n v="81"/>
    <s v="Pending"/>
    <s v="Medium"/>
    <s v="Normal Order"/>
    <s v="Fitness-Mumbai"/>
    <s v="Fit"/>
    <m/>
  </r>
  <r>
    <x v="916"/>
    <s v="USB Cable"/>
    <x v="2"/>
    <n v="2814"/>
    <x v="2"/>
    <s v="2023-03-27"/>
    <x v="0"/>
    <x v="0"/>
    <n v="5628"/>
    <n v="41"/>
    <s v="Delivered"/>
    <s v="Medium"/>
    <s v="Normal Order"/>
    <s v="Home-Chennai"/>
    <s v="Hom"/>
    <m/>
  </r>
  <r>
    <x v="917"/>
    <s v="Power Bank"/>
    <x v="1"/>
    <n v="4057"/>
    <x v="2"/>
    <s v="2023-04-22"/>
    <x v="5"/>
    <x v="3"/>
    <n v="8114"/>
    <n v="38"/>
    <s v="Delivered"/>
    <s v="High"/>
    <s v="Normal Order"/>
    <s v="Fitness-Bangalore"/>
    <s v="Fit"/>
    <m/>
  </r>
  <r>
    <x v="918"/>
    <s v="LED Bulb"/>
    <x v="3"/>
    <n v="3348"/>
    <x v="1"/>
    <s v="2023-11-06"/>
    <x v="3"/>
    <x v="1"/>
    <n v="10044"/>
    <n v="32"/>
    <s v="Pending"/>
    <s v="Medium"/>
    <s v="Bulk Order"/>
    <s v="Accessories-Mumbai"/>
    <s v="Acc"/>
    <m/>
  </r>
  <r>
    <x v="919"/>
    <s v="USB Cable"/>
    <x v="4"/>
    <n v="456"/>
    <x v="0"/>
    <s v="2023-06-17"/>
    <x v="1"/>
    <x v="2"/>
    <n v="1824"/>
    <n v="96"/>
    <s v="Cancelled"/>
    <s v="High"/>
    <s v="Bulk Order"/>
    <s v="Electronics-Kolkata"/>
    <s v="Ele"/>
    <m/>
  </r>
  <r>
    <x v="920"/>
    <s v="Desk Organizer"/>
    <x v="0"/>
    <n v="3967"/>
    <x v="3"/>
    <s v="2023-07-02"/>
    <x v="0"/>
    <x v="0"/>
    <n v="3967"/>
    <n v="99"/>
    <s v="Delivered"/>
    <s v="Low"/>
    <s v="Normal Order"/>
    <s v="Lifestyle-Chennai"/>
    <s v="Lif"/>
    <m/>
  </r>
  <r>
    <x v="921"/>
    <s v="Backpack"/>
    <x v="2"/>
    <n v="1846"/>
    <x v="1"/>
    <s v="2023-11-01"/>
    <x v="5"/>
    <x v="1"/>
    <n v="5538"/>
    <n v="23"/>
    <s v="Cancelled"/>
    <s v="Low"/>
    <s v="Bulk Order"/>
    <s v="Home-Bangalore"/>
    <s v="Hom"/>
    <m/>
  </r>
  <r>
    <x v="922"/>
    <s v="Coffee Mug"/>
    <x v="1"/>
    <n v="2602"/>
    <x v="2"/>
    <s v="2023-01-02"/>
    <x v="0"/>
    <x v="3"/>
    <n v="5204"/>
    <n v="44"/>
    <s v="Delivered"/>
    <s v="High"/>
    <s v="Normal Order"/>
    <s v="Fitness-Chennai"/>
    <s v="Fit"/>
    <m/>
  </r>
  <r>
    <x v="923"/>
    <s v="LED Bulb"/>
    <x v="2"/>
    <n v="3681"/>
    <x v="1"/>
    <s v="2023-09-11"/>
    <x v="1"/>
    <x v="3"/>
    <n v="11043"/>
    <n v="84"/>
    <s v="Delivered"/>
    <s v="Medium"/>
    <s v="Bulk Order"/>
    <s v="Home-Kolkata"/>
    <s v="Hom"/>
    <m/>
  </r>
  <r>
    <x v="924"/>
    <s v="Backpack"/>
    <x v="0"/>
    <n v="2059"/>
    <x v="2"/>
    <s v="2023-01-17"/>
    <x v="3"/>
    <x v="3"/>
    <n v="4118"/>
    <n v="57"/>
    <s v="Delivered"/>
    <s v="Low"/>
    <s v="Normal Order"/>
    <s v="Lifestyle-Mumbai"/>
    <s v="Lif"/>
    <m/>
  </r>
  <r>
    <x v="925"/>
    <s v="USB Cable"/>
    <x v="1"/>
    <n v="531"/>
    <x v="2"/>
    <s v="2023-07-05"/>
    <x v="0"/>
    <x v="3"/>
    <n v="1062"/>
    <n v="85"/>
    <s v="Pending"/>
    <s v="High"/>
    <s v="Normal Order"/>
    <s v="Fitness-Chennai"/>
    <s v="Fit"/>
    <m/>
  </r>
  <r>
    <x v="926"/>
    <s v="Bluetooth Speaker"/>
    <x v="0"/>
    <n v="4254"/>
    <x v="1"/>
    <s v="2023-08-24"/>
    <x v="3"/>
    <x v="2"/>
    <n v="12762"/>
    <n v="73"/>
    <s v="Delivered"/>
    <s v="Medium"/>
    <s v="Bulk Order"/>
    <s v="Lifestyle-Mumbai"/>
    <s v="Lif"/>
    <m/>
  </r>
  <r>
    <x v="927"/>
    <s v="LED Bulb"/>
    <x v="1"/>
    <n v="3361"/>
    <x v="1"/>
    <s v="2023-06-07"/>
    <x v="3"/>
    <x v="3"/>
    <n v="10083"/>
    <n v="80"/>
    <s v="Delivered"/>
    <s v="High"/>
    <s v="Bulk Order"/>
    <s v="Fitness-Mumbai"/>
    <s v="Fit"/>
    <m/>
  </r>
  <r>
    <x v="928"/>
    <s v="Smartphone Case"/>
    <x v="1"/>
    <n v="3591"/>
    <x v="1"/>
    <s v="2023-05-30"/>
    <x v="5"/>
    <x v="2"/>
    <n v="10773"/>
    <n v="88"/>
    <s v="Delivered"/>
    <s v="Medium"/>
    <s v="Bulk Order"/>
    <s v="Fitness-Bangalore"/>
    <s v="Fit"/>
    <m/>
  </r>
  <r>
    <x v="929"/>
    <s v="LED Bulb"/>
    <x v="0"/>
    <n v="601"/>
    <x v="0"/>
    <s v="2023-09-09"/>
    <x v="4"/>
    <x v="1"/>
    <n v="2404"/>
    <n v="29"/>
    <s v="Delivered"/>
    <s v="Low"/>
    <s v="Bulk Order"/>
    <s v="Lifestyle-Delhi"/>
    <s v="Lif"/>
    <m/>
  </r>
  <r>
    <x v="930"/>
    <s v="Fitness Band"/>
    <x v="2"/>
    <n v="428"/>
    <x v="3"/>
    <s v="2023-10-11"/>
    <x v="4"/>
    <x v="3"/>
    <n v="428"/>
    <n v="62"/>
    <s v="Delivered"/>
    <s v="High"/>
    <s v="Normal Order"/>
    <s v="Home-Delhi"/>
    <s v="Hom"/>
    <m/>
  </r>
  <r>
    <x v="931"/>
    <s v="Power Bank"/>
    <x v="1"/>
    <n v="4800"/>
    <x v="0"/>
    <s v="2023-03-25"/>
    <x v="3"/>
    <x v="0"/>
    <n v="19200"/>
    <n v="94"/>
    <s v="Delivered"/>
    <s v="Medium"/>
    <s v="Bulk Order"/>
    <s v="Fitness-Mumbai"/>
    <s v="Fit"/>
    <m/>
  </r>
  <r>
    <x v="932"/>
    <s v="Backpack"/>
    <x v="1"/>
    <n v="3402"/>
    <x v="3"/>
    <s v="2023-03-26"/>
    <x v="0"/>
    <x v="0"/>
    <n v="3402"/>
    <n v="35"/>
    <s v="Cancelled"/>
    <s v="Medium"/>
    <s v="Normal Order"/>
    <s v="Fitness-Chennai"/>
    <s v="Fit"/>
    <m/>
  </r>
  <r>
    <x v="933"/>
    <s v="Wireless Earbuds"/>
    <x v="1"/>
    <n v="791"/>
    <x v="0"/>
    <s v="2023-03-09"/>
    <x v="0"/>
    <x v="3"/>
    <n v="3164"/>
    <n v="51"/>
    <s v="Delivered"/>
    <s v="Medium"/>
    <s v="Bulk Order"/>
    <s v="Fitness-Chennai"/>
    <s v="Fit"/>
    <m/>
  </r>
  <r>
    <x v="934"/>
    <s v="Wireless Earbuds"/>
    <x v="1"/>
    <n v="4472"/>
    <x v="1"/>
    <s v="2023-11-19"/>
    <x v="4"/>
    <x v="1"/>
    <n v="13416"/>
    <n v="64"/>
    <s v="Delivered"/>
    <s v="Medium"/>
    <s v="Bulk Order"/>
    <s v="Fitness-Delhi"/>
    <s v="Fit"/>
    <m/>
  </r>
  <r>
    <x v="935"/>
    <s v="Wireless Earbuds"/>
    <x v="3"/>
    <n v="3302"/>
    <x v="3"/>
    <s v="2023-07-22"/>
    <x v="5"/>
    <x v="3"/>
    <n v="3302"/>
    <n v="35"/>
    <s v="Delivered"/>
    <s v="High"/>
    <s v="Normal Order"/>
    <s v="Accessories-Bangalore"/>
    <s v="Acc"/>
    <m/>
  </r>
  <r>
    <x v="936"/>
    <s v="Water Bottle"/>
    <x v="2"/>
    <n v="3503"/>
    <x v="1"/>
    <s v="2023-03-18"/>
    <x v="3"/>
    <x v="1"/>
    <n v="10509"/>
    <n v="58"/>
    <s v="Delivered"/>
    <s v="High"/>
    <s v="Bulk Order"/>
    <s v="Home-Mumbai"/>
    <s v="Hom"/>
    <m/>
  </r>
  <r>
    <x v="937"/>
    <s v="Bluetooth Speaker"/>
    <x v="3"/>
    <n v="3751"/>
    <x v="1"/>
    <s v="2023-02-05"/>
    <x v="5"/>
    <x v="3"/>
    <n v="11253"/>
    <n v="49"/>
    <s v="Delivered"/>
    <s v="High"/>
    <s v="Bulk Order"/>
    <s v="Accessories-Bangalore"/>
    <s v="Acc"/>
    <m/>
  </r>
  <r>
    <x v="938"/>
    <s v="Desk Organizer"/>
    <x v="0"/>
    <n v="4779"/>
    <x v="2"/>
    <s v="2023-09-09"/>
    <x v="4"/>
    <x v="3"/>
    <n v="9558"/>
    <n v="32"/>
    <s v="Pending"/>
    <s v="Medium"/>
    <s v="Normal Order"/>
    <s v="Lifestyle-Delhi"/>
    <s v="Lif"/>
    <m/>
  </r>
  <r>
    <x v="939"/>
    <s v="Wireless Earbuds"/>
    <x v="2"/>
    <n v="4761"/>
    <x v="0"/>
    <s v="2023-09-23"/>
    <x v="0"/>
    <x v="2"/>
    <n v="19044"/>
    <n v="50"/>
    <s v="Delivered"/>
    <s v="Medium"/>
    <s v="Bulk Order"/>
    <s v="Home-Chennai"/>
    <s v="Hom"/>
    <m/>
  </r>
  <r>
    <x v="940"/>
    <s v="Water Bottle"/>
    <x v="3"/>
    <n v="1114"/>
    <x v="3"/>
    <s v="2023-03-14"/>
    <x v="4"/>
    <x v="3"/>
    <n v="1114"/>
    <n v="33"/>
    <s v="Delivered"/>
    <s v="Medium"/>
    <s v="Normal Order"/>
    <s v="Accessories-Delhi"/>
    <s v="Acc"/>
    <m/>
  </r>
  <r>
    <x v="941"/>
    <s v="Wireless Earbuds"/>
    <x v="0"/>
    <n v="998"/>
    <x v="3"/>
    <s v="2023-07-03"/>
    <x v="5"/>
    <x v="2"/>
    <n v="998"/>
    <n v="78"/>
    <s v="Cancelled"/>
    <s v="Medium"/>
    <s v="Normal Order"/>
    <s v="Lifestyle-Bangalore"/>
    <s v="Lif"/>
    <m/>
  </r>
  <r>
    <x v="942"/>
    <s v="LED Bulb"/>
    <x v="4"/>
    <n v="2438"/>
    <x v="3"/>
    <s v="2023-04-08"/>
    <x v="2"/>
    <x v="0"/>
    <n v="2438"/>
    <n v="54"/>
    <s v="Delivered"/>
    <s v="Low"/>
    <s v="Normal Order"/>
    <s v="Electronics-Hyderabad"/>
    <s v="Ele"/>
    <m/>
  </r>
  <r>
    <x v="943"/>
    <s v="Backpack"/>
    <x v="3"/>
    <n v="2399"/>
    <x v="0"/>
    <s v="2023-09-13"/>
    <x v="4"/>
    <x v="2"/>
    <n v="9596"/>
    <n v="85"/>
    <s v="Delivered"/>
    <s v="High"/>
    <s v="Bulk Order"/>
    <s v="Accessories-Delhi"/>
    <s v="Acc"/>
    <m/>
  </r>
  <r>
    <x v="944"/>
    <s v="Backpack"/>
    <x v="1"/>
    <n v="3649"/>
    <x v="1"/>
    <s v="2023-11-02"/>
    <x v="2"/>
    <x v="2"/>
    <n v="10947"/>
    <n v="20"/>
    <s v="Delivered"/>
    <s v="Medium"/>
    <s v="Bulk Order"/>
    <s v="Fitness-Hyderabad"/>
    <s v="Fit"/>
    <m/>
  </r>
  <r>
    <x v="945"/>
    <s v="USB Cable"/>
    <x v="4"/>
    <n v="3946"/>
    <x v="0"/>
    <s v="2023-11-12"/>
    <x v="0"/>
    <x v="0"/>
    <n v="15784"/>
    <n v="33"/>
    <s v="Delivered"/>
    <s v="Medium"/>
    <s v="Bulk Order"/>
    <s v="Electronics-Chennai"/>
    <s v="Ele"/>
    <m/>
  </r>
  <r>
    <x v="946"/>
    <s v="Smartphone Case"/>
    <x v="3"/>
    <n v="394"/>
    <x v="2"/>
    <s v="2023-09-11"/>
    <x v="4"/>
    <x v="1"/>
    <n v="788"/>
    <n v="35"/>
    <s v="Delivered"/>
    <s v="Medium"/>
    <s v="Normal Order"/>
    <s v="Accessories-Delhi"/>
    <s v="Acc"/>
    <m/>
  </r>
  <r>
    <x v="947"/>
    <s v="Fitness Band"/>
    <x v="3"/>
    <n v="1951"/>
    <x v="3"/>
    <s v="2023-09-20"/>
    <x v="5"/>
    <x v="0"/>
    <n v="1951"/>
    <n v="52"/>
    <s v="Cancelled"/>
    <s v="Medium"/>
    <s v="Normal Order"/>
    <s v="Accessories-Bangalore"/>
    <s v="Acc"/>
    <m/>
  </r>
  <r>
    <x v="948"/>
    <s v="Backpack"/>
    <x v="0"/>
    <n v="4254"/>
    <x v="3"/>
    <s v="2023-06-13"/>
    <x v="2"/>
    <x v="3"/>
    <n v="4254"/>
    <n v="42"/>
    <s v="Delivered"/>
    <s v="High"/>
    <s v="Normal Order"/>
    <s v="Lifestyle-Hyderabad"/>
    <s v="Lif"/>
    <m/>
  </r>
  <r>
    <x v="949"/>
    <s v="Fitness Band"/>
    <x v="3"/>
    <n v="2412"/>
    <x v="2"/>
    <s v="2023-06-18"/>
    <x v="3"/>
    <x v="1"/>
    <n v="4824"/>
    <n v="29"/>
    <s v="Delivered"/>
    <s v="Medium"/>
    <s v="Normal Order"/>
    <s v="Accessories-Mumbai"/>
    <s v="Acc"/>
    <m/>
  </r>
  <r>
    <x v="950"/>
    <s v="Wireless Earbuds"/>
    <x v="2"/>
    <n v="1052"/>
    <x v="1"/>
    <s v="2023-05-06"/>
    <x v="2"/>
    <x v="0"/>
    <n v="3156"/>
    <n v="38"/>
    <s v="Pending"/>
    <s v="Medium"/>
    <s v="Bulk Order"/>
    <s v="Home-Hyderabad"/>
    <s v="Hom"/>
    <m/>
  </r>
  <r>
    <x v="951"/>
    <s v="Backpack"/>
    <x v="0"/>
    <n v="4938"/>
    <x v="2"/>
    <s v="2023-11-21"/>
    <x v="5"/>
    <x v="2"/>
    <n v="9876"/>
    <n v="22"/>
    <s v="Delivered"/>
    <s v="Medium"/>
    <s v="Normal Order"/>
    <s v="Lifestyle-Bangalore"/>
    <s v="Lif"/>
    <m/>
  </r>
  <r>
    <x v="952"/>
    <s v="Water Bottle"/>
    <x v="1"/>
    <n v="3378"/>
    <x v="3"/>
    <s v="2023-03-06"/>
    <x v="0"/>
    <x v="3"/>
    <n v="3378"/>
    <n v="38"/>
    <s v="Delivered"/>
    <s v="Medium"/>
    <s v="Normal Order"/>
    <s v="Fitness-Chennai"/>
    <s v="Fit"/>
    <m/>
  </r>
  <r>
    <x v="953"/>
    <s v="Smartphone Case"/>
    <x v="3"/>
    <n v="4130"/>
    <x v="0"/>
    <s v="2023-08-06"/>
    <x v="1"/>
    <x v="0"/>
    <n v="16520"/>
    <n v="92"/>
    <s v="Delivered"/>
    <s v="Low"/>
    <s v="Bulk Order"/>
    <s v="Accessories-Kolkata"/>
    <s v="Acc"/>
    <m/>
  </r>
  <r>
    <x v="954"/>
    <s v="Water Bottle"/>
    <x v="3"/>
    <n v="812"/>
    <x v="2"/>
    <s v="2023-05-24"/>
    <x v="2"/>
    <x v="0"/>
    <n v="1624"/>
    <n v="21"/>
    <s v="Delivered"/>
    <s v="High"/>
    <s v="Normal Order"/>
    <s v="Accessories-Hyderabad"/>
    <s v="Acc"/>
    <m/>
  </r>
  <r>
    <x v="955"/>
    <s v="Laptop Stand"/>
    <x v="2"/>
    <n v="4868"/>
    <x v="0"/>
    <s v="2023-08-06"/>
    <x v="0"/>
    <x v="0"/>
    <n v="19472"/>
    <n v="76"/>
    <s v="Delivered"/>
    <s v="Medium"/>
    <s v="Bulk Order"/>
    <s v="Home-Chennai"/>
    <s v="Hom"/>
    <m/>
  </r>
  <r>
    <x v="956"/>
    <s v="Water Bottle"/>
    <x v="0"/>
    <n v="2239"/>
    <x v="0"/>
    <s v="2023-01-25"/>
    <x v="5"/>
    <x v="2"/>
    <n v="8956"/>
    <n v="33"/>
    <s v="Delivered"/>
    <s v="Medium"/>
    <s v="Bulk Order"/>
    <s v="Lifestyle-Bangalore"/>
    <s v="Lif"/>
    <m/>
  </r>
  <r>
    <x v="957"/>
    <s v="Bluetooth Speaker"/>
    <x v="2"/>
    <n v="1598"/>
    <x v="0"/>
    <s v="2023-06-27"/>
    <x v="1"/>
    <x v="3"/>
    <n v="6392"/>
    <n v="91"/>
    <s v="Delivered"/>
    <s v="Medium"/>
    <s v="Bulk Order"/>
    <s v="Home-Kolkata"/>
    <s v="Hom"/>
    <m/>
  </r>
  <r>
    <x v="958"/>
    <s v="LED Bulb"/>
    <x v="4"/>
    <n v="1556"/>
    <x v="3"/>
    <s v="2023-01-28"/>
    <x v="1"/>
    <x v="2"/>
    <n v="1556"/>
    <n v="54"/>
    <s v="Delivered"/>
    <s v="High"/>
    <s v="Normal Order"/>
    <s v="Electronics-Kolkata"/>
    <s v="Ele"/>
    <m/>
  </r>
  <r>
    <x v="959"/>
    <s v="Coffee Mug"/>
    <x v="4"/>
    <n v="2105"/>
    <x v="2"/>
    <s v="2023-03-19"/>
    <x v="0"/>
    <x v="3"/>
    <n v="4210"/>
    <n v="48"/>
    <s v="Cancelled"/>
    <s v="Medium"/>
    <s v="Normal Order"/>
    <s v="Electronics-Chennai"/>
    <s v="Ele"/>
    <m/>
  </r>
  <r>
    <x v="960"/>
    <s v="Desk Organizer"/>
    <x v="4"/>
    <n v="2750"/>
    <x v="3"/>
    <s v="2023-08-14"/>
    <x v="4"/>
    <x v="3"/>
    <n v="2750"/>
    <n v="60"/>
    <s v="Pending"/>
    <s v="Low"/>
    <s v="Normal Order"/>
    <s v="Electronics-Delhi"/>
    <s v="Ele"/>
    <m/>
  </r>
  <r>
    <x v="961"/>
    <s v="Coffee Mug"/>
    <x v="2"/>
    <n v="2742"/>
    <x v="3"/>
    <s v="2023-01-06"/>
    <x v="2"/>
    <x v="1"/>
    <n v="2742"/>
    <n v="63"/>
    <s v="Cancelled"/>
    <s v="High"/>
    <s v="Normal Order"/>
    <s v="Home-Hyderabad"/>
    <s v="Hom"/>
    <m/>
  </r>
  <r>
    <x v="962"/>
    <s v="Smartphone Case"/>
    <x v="1"/>
    <n v="2437"/>
    <x v="2"/>
    <s v="2023-01-01"/>
    <x v="3"/>
    <x v="2"/>
    <n v="4874"/>
    <n v="79"/>
    <s v="Delivered"/>
    <s v="Medium"/>
    <s v="Normal Order"/>
    <s v="Fitness-Mumbai"/>
    <s v="Fit"/>
    <m/>
  </r>
  <r>
    <x v="963"/>
    <s v="Desk Organizer"/>
    <x v="3"/>
    <n v="1059"/>
    <x v="3"/>
    <s v="2023-11-02"/>
    <x v="0"/>
    <x v="0"/>
    <n v="1059"/>
    <n v="44"/>
    <s v="Delivered"/>
    <s v="Medium"/>
    <s v="Normal Order"/>
    <s v="Accessories-Chennai"/>
    <s v="Acc"/>
    <m/>
  </r>
  <r>
    <x v="964"/>
    <s v="Smartphone Case"/>
    <x v="3"/>
    <n v="1939"/>
    <x v="1"/>
    <s v="2023-03-19"/>
    <x v="0"/>
    <x v="0"/>
    <n v="5817"/>
    <n v="61"/>
    <s v="Cancelled"/>
    <s v="Medium"/>
    <s v="Bulk Order"/>
    <s v="Accessories-Chennai"/>
    <s v="Acc"/>
    <m/>
  </r>
  <r>
    <x v="965"/>
    <s v="Smartphone Case"/>
    <x v="2"/>
    <n v="2525"/>
    <x v="0"/>
    <s v="2023-11-30"/>
    <x v="0"/>
    <x v="3"/>
    <n v="10100"/>
    <n v="31"/>
    <s v="Pending"/>
    <s v="Medium"/>
    <s v="Bulk Order"/>
    <s v="Home-Chennai"/>
    <s v="Hom"/>
    <m/>
  </r>
  <r>
    <x v="966"/>
    <s v="Desk Organizer"/>
    <x v="3"/>
    <n v="3572"/>
    <x v="2"/>
    <s v="2023-07-08"/>
    <x v="4"/>
    <x v="1"/>
    <n v="7144"/>
    <n v="28"/>
    <s v="Delivered"/>
    <s v="Low"/>
    <s v="Normal Order"/>
    <s v="Accessories-Delhi"/>
    <s v="Acc"/>
    <m/>
  </r>
  <r>
    <x v="967"/>
    <s v="Water Bottle"/>
    <x v="3"/>
    <n v="2287"/>
    <x v="2"/>
    <s v="2023-11-21"/>
    <x v="0"/>
    <x v="3"/>
    <n v="4574"/>
    <n v="50"/>
    <s v="Pending"/>
    <s v="Low"/>
    <s v="Normal Order"/>
    <s v="Accessories-Chennai"/>
    <s v="Acc"/>
    <m/>
  </r>
  <r>
    <x v="968"/>
    <s v="Desk Organizer"/>
    <x v="1"/>
    <n v="3000"/>
    <x v="2"/>
    <s v="2023-02-26"/>
    <x v="4"/>
    <x v="0"/>
    <n v="6000"/>
    <n v="85"/>
    <s v="Delivered"/>
    <s v="High"/>
    <s v="Normal Order"/>
    <s v="Fitness-Delhi"/>
    <s v="Fit"/>
    <m/>
  </r>
  <r>
    <x v="969"/>
    <s v="Smartphone Case"/>
    <x v="3"/>
    <n v="645"/>
    <x v="3"/>
    <s v="2023-08-22"/>
    <x v="2"/>
    <x v="2"/>
    <n v="645"/>
    <n v="51"/>
    <s v="Delivered"/>
    <s v="High"/>
    <s v="Normal Order"/>
    <s v="Accessories-Hyderabad"/>
    <s v="Acc"/>
    <m/>
  </r>
  <r>
    <x v="970"/>
    <s v="Bluetooth Speaker"/>
    <x v="4"/>
    <n v="267"/>
    <x v="3"/>
    <s v="2023-03-26"/>
    <x v="2"/>
    <x v="1"/>
    <n v="267"/>
    <n v="93"/>
    <s v="Delivered"/>
    <s v="Medium"/>
    <s v="Normal Order"/>
    <s v="Electronics-Hyderabad"/>
    <s v="Ele"/>
    <m/>
  </r>
  <r>
    <x v="971"/>
    <s v="LED Bulb"/>
    <x v="3"/>
    <n v="4880"/>
    <x v="3"/>
    <s v="2023-10-03"/>
    <x v="5"/>
    <x v="3"/>
    <n v="4880"/>
    <n v="39"/>
    <s v="Pending"/>
    <s v="Medium"/>
    <s v="Normal Order"/>
    <s v="Accessories-Bangalore"/>
    <s v="Acc"/>
    <m/>
  </r>
  <r>
    <x v="972"/>
    <s v="Bluetooth Speaker"/>
    <x v="4"/>
    <n v="4140"/>
    <x v="2"/>
    <s v="2023-05-18"/>
    <x v="4"/>
    <x v="1"/>
    <n v="8280"/>
    <n v="35"/>
    <s v="Delivered"/>
    <s v="Low"/>
    <s v="Normal Order"/>
    <s v="Electronics-Delhi"/>
    <s v="Ele"/>
    <m/>
  </r>
  <r>
    <x v="973"/>
    <s v="Backpack"/>
    <x v="1"/>
    <n v="879"/>
    <x v="1"/>
    <s v="2023-03-24"/>
    <x v="5"/>
    <x v="2"/>
    <n v="2637"/>
    <n v="90"/>
    <s v="Pending"/>
    <s v="High"/>
    <s v="Bulk Order"/>
    <s v="Fitness-Bangalore"/>
    <s v="Fit"/>
    <m/>
  </r>
  <r>
    <x v="974"/>
    <s v="Smartphone Case"/>
    <x v="3"/>
    <n v="515"/>
    <x v="2"/>
    <s v="2023-01-12"/>
    <x v="1"/>
    <x v="1"/>
    <n v="1030"/>
    <n v="21"/>
    <s v="Delivered"/>
    <s v="Low"/>
    <s v="Normal Order"/>
    <s v="Accessories-Kolkata"/>
    <s v="Acc"/>
    <m/>
  </r>
  <r>
    <x v="975"/>
    <s v="Desk Organizer"/>
    <x v="0"/>
    <n v="1868"/>
    <x v="3"/>
    <s v="2023-08-05"/>
    <x v="4"/>
    <x v="1"/>
    <n v="1868"/>
    <n v="26"/>
    <s v="Delivered"/>
    <s v="High"/>
    <s v="Normal Order"/>
    <s v="Lifestyle-Delhi"/>
    <s v="Lif"/>
    <m/>
  </r>
  <r>
    <x v="976"/>
    <s v="Fitness Band"/>
    <x v="2"/>
    <n v="4780"/>
    <x v="1"/>
    <s v="2023-02-09"/>
    <x v="3"/>
    <x v="1"/>
    <n v="14340"/>
    <n v="80"/>
    <s v="Delivered"/>
    <s v="Low"/>
    <s v="Bulk Order"/>
    <s v="Home-Mumbai"/>
    <s v="Hom"/>
    <m/>
  </r>
  <r>
    <x v="977"/>
    <s v="Water Bottle"/>
    <x v="4"/>
    <n v="1775"/>
    <x v="1"/>
    <s v="2023-04-02"/>
    <x v="5"/>
    <x v="2"/>
    <n v="5325"/>
    <n v="84"/>
    <s v="Delivered"/>
    <s v="High"/>
    <s v="Bulk Order"/>
    <s v="Electronics-Bangalore"/>
    <s v="Ele"/>
    <m/>
  </r>
  <r>
    <x v="978"/>
    <s v="LED Bulb"/>
    <x v="4"/>
    <n v="2307"/>
    <x v="3"/>
    <s v="2023-01-17"/>
    <x v="2"/>
    <x v="0"/>
    <n v="2307"/>
    <n v="39"/>
    <s v="Delivered"/>
    <s v="High"/>
    <s v="Normal Order"/>
    <s v="Electronics-Hyderabad"/>
    <s v="Ele"/>
    <m/>
  </r>
  <r>
    <x v="979"/>
    <s v="Wireless Earbuds"/>
    <x v="1"/>
    <n v="3688"/>
    <x v="3"/>
    <s v="2023-11-06"/>
    <x v="5"/>
    <x v="1"/>
    <n v="3688"/>
    <n v="49"/>
    <s v="Delivered"/>
    <s v="Low"/>
    <s v="Normal Order"/>
    <s v="Fitness-Bangalore"/>
    <s v="Fit"/>
    <m/>
  </r>
  <r>
    <x v="980"/>
    <s v="LED Bulb"/>
    <x v="2"/>
    <n v="383"/>
    <x v="3"/>
    <s v="2023-09-30"/>
    <x v="4"/>
    <x v="2"/>
    <n v="383"/>
    <n v="42"/>
    <s v="Delivered"/>
    <s v="High"/>
    <s v="Normal Order"/>
    <s v="Home-Delhi"/>
    <s v="Hom"/>
    <m/>
  </r>
  <r>
    <x v="981"/>
    <s v="Water Bottle"/>
    <x v="4"/>
    <n v="4305"/>
    <x v="2"/>
    <s v="2023-12-13"/>
    <x v="1"/>
    <x v="1"/>
    <n v="8610"/>
    <n v="54"/>
    <s v="Delivered"/>
    <s v="Medium"/>
    <s v="Normal Order"/>
    <s v="Electronics-Kolkata"/>
    <s v="Ele"/>
    <m/>
  </r>
  <r>
    <x v="982"/>
    <s v="Smartphone Case"/>
    <x v="1"/>
    <n v="3075"/>
    <x v="1"/>
    <s v="2023-04-08"/>
    <x v="5"/>
    <x v="3"/>
    <n v="9225"/>
    <n v="25"/>
    <s v="Delivered"/>
    <s v="Medium"/>
    <s v="Bulk Order"/>
    <s v="Fitness-Bangalore"/>
    <s v="Fit"/>
    <m/>
  </r>
  <r>
    <x v="983"/>
    <s v="Smartphone Case"/>
    <x v="4"/>
    <n v="3633"/>
    <x v="2"/>
    <s v="2023-02-20"/>
    <x v="0"/>
    <x v="3"/>
    <n v="7266"/>
    <n v="86"/>
    <s v="Pending"/>
    <s v="Medium"/>
    <s v="Normal Order"/>
    <s v="Electronics-Chennai"/>
    <s v="Ele"/>
    <m/>
  </r>
  <r>
    <x v="984"/>
    <s v="Water Bottle"/>
    <x v="1"/>
    <n v="3011"/>
    <x v="1"/>
    <s v="2023-02-18"/>
    <x v="5"/>
    <x v="1"/>
    <n v="9033"/>
    <n v="72"/>
    <s v="Cancelled"/>
    <s v="Medium"/>
    <s v="Bulk Order"/>
    <s v="Fitness-Bangalore"/>
    <s v="Fit"/>
    <m/>
  </r>
  <r>
    <x v="985"/>
    <s v="Desk Organizer"/>
    <x v="4"/>
    <n v="1629"/>
    <x v="0"/>
    <s v="2023-08-24"/>
    <x v="2"/>
    <x v="0"/>
    <n v="6516"/>
    <n v="88"/>
    <s v="Pending"/>
    <s v="Medium"/>
    <s v="Bulk Order"/>
    <s v="Electronics-Hyderabad"/>
    <s v="Ele"/>
    <m/>
  </r>
  <r>
    <x v="986"/>
    <s v="LED Bulb"/>
    <x v="4"/>
    <n v="2079"/>
    <x v="2"/>
    <s v="2023-07-04"/>
    <x v="5"/>
    <x v="3"/>
    <n v="4158"/>
    <n v="40"/>
    <s v="Delivered"/>
    <s v="Medium"/>
    <s v="Normal Order"/>
    <s v="Electronics-Bangalore"/>
    <s v="Ele"/>
    <m/>
  </r>
  <r>
    <x v="987"/>
    <s v="LED Bulb"/>
    <x v="0"/>
    <n v="2127"/>
    <x v="1"/>
    <s v="2023-10-25"/>
    <x v="1"/>
    <x v="3"/>
    <n v="6381"/>
    <n v="26"/>
    <s v="Delivered"/>
    <s v="Medium"/>
    <s v="Bulk Order"/>
    <s v="Lifestyle-Kolkata"/>
    <s v="Lif"/>
    <m/>
  </r>
  <r>
    <x v="988"/>
    <s v="LED Bulb"/>
    <x v="3"/>
    <n v="4763"/>
    <x v="0"/>
    <s v="2023-10-01"/>
    <x v="2"/>
    <x v="3"/>
    <n v="19052"/>
    <n v="63"/>
    <s v="Delivered"/>
    <s v="Low"/>
    <s v="Bulk Order"/>
    <s v="Accessories-Hyderabad"/>
    <s v="Acc"/>
    <m/>
  </r>
  <r>
    <x v="989"/>
    <s v="Desk Organizer"/>
    <x v="3"/>
    <n v="3057"/>
    <x v="2"/>
    <s v="2023-06-03"/>
    <x v="4"/>
    <x v="3"/>
    <n v="6114"/>
    <n v="23"/>
    <s v="Delivered"/>
    <s v="Medium"/>
    <s v="Normal Order"/>
    <s v="Accessories-Delhi"/>
    <s v="Acc"/>
    <m/>
  </r>
  <r>
    <x v="990"/>
    <s v="Water Bottle"/>
    <x v="0"/>
    <n v="3240"/>
    <x v="3"/>
    <s v="2023-10-30"/>
    <x v="0"/>
    <x v="2"/>
    <n v="3240"/>
    <n v="45"/>
    <s v="Pending"/>
    <s v="Medium"/>
    <s v="Normal Order"/>
    <s v="Lifestyle-Chennai"/>
    <s v="Lif"/>
    <m/>
  </r>
  <r>
    <x v="991"/>
    <s v="Wireless Earbuds"/>
    <x v="1"/>
    <n v="2143"/>
    <x v="2"/>
    <s v="2023-10-16"/>
    <x v="4"/>
    <x v="0"/>
    <n v="4286"/>
    <n v="35"/>
    <s v="Cancelled"/>
    <s v="Medium"/>
    <s v="Normal Order"/>
    <s v="Fitness-Delhi"/>
    <s v="Fit"/>
    <m/>
  </r>
  <r>
    <x v="992"/>
    <s v="Laptop Stand"/>
    <x v="4"/>
    <n v="3693"/>
    <x v="2"/>
    <s v="2023-07-26"/>
    <x v="3"/>
    <x v="3"/>
    <n v="7386"/>
    <n v="20"/>
    <s v="Delivered"/>
    <s v="Medium"/>
    <s v="Normal Order"/>
    <s v="Electronics-Mumbai"/>
    <s v="Ele"/>
    <m/>
  </r>
  <r>
    <x v="993"/>
    <s v="Water Bottle"/>
    <x v="2"/>
    <n v="3747"/>
    <x v="0"/>
    <s v="2023-04-26"/>
    <x v="3"/>
    <x v="3"/>
    <n v="14988"/>
    <n v="68"/>
    <s v="Delivered"/>
    <s v="Low"/>
    <s v="Bulk Order"/>
    <s v="Home-Mumbai"/>
    <s v="Hom"/>
    <m/>
  </r>
  <r>
    <x v="994"/>
    <s v="USB Cable"/>
    <x v="2"/>
    <n v="4367"/>
    <x v="2"/>
    <s v="2023-07-30"/>
    <x v="2"/>
    <x v="1"/>
    <n v="8734"/>
    <n v="85"/>
    <s v="Delivered"/>
    <s v="High"/>
    <s v="Normal Order"/>
    <s v="Home-Hyderabad"/>
    <s v="Hom"/>
    <m/>
  </r>
  <r>
    <x v="995"/>
    <s v="Coffee Mug"/>
    <x v="1"/>
    <n v="1515"/>
    <x v="2"/>
    <s v="2023-09-21"/>
    <x v="2"/>
    <x v="2"/>
    <n v="3030"/>
    <n v="86"/>
    <s v="Delivered"/>
    <s v="High"/>
    <s v="Normal Order"/>
    <s v="Fitness-Hyderabad"/>
    <s v="Fit"/>
    <m/>
  </r>
  <r>
    <x v="996"/>
    <s v="USB Cable"/>
    <x v="2"/>
    <n v="2207"/>
    <x v="1"/>
    <s v="2023-11-05"/>
    <x v="1"/>
    <x v="0"/>
    <n v="6621"/>
    <n v="73"/>
    <s v="Delivered"/>
    <s v="Medium"/>
    <s v="Bulk Order"/>
    <s v="Home-Kolkata"/>
    <s v="Hom"/>
    <m/>
  </r>
  <r>
    <x v="997"/>
    <s v="Wireless Earbuds"/>
    <x v="2"/>
    <n v="281"/>
    <x v="1"/>
    <s v="2023-11-21"/>
    <x v="3"/>
    <x v="3"/>
    <n v="843"/>
    <n v="53"/>
    <s v="Delivered"/>
    <s v="High"/>
    <s v="Bulk Order"/>
    <s v="Home-Mumbai"/>
    <s v="Hom"/>
    <m/>
  </r>
  <r>
    <x v="998"/>
    <s v="Wireless Earbuds"/>
    <x v="2"/>
    <n v="3119"/>
    <x v="0"/>
    <s v="2023-09-09"/>
    <x v="3"/>
    <x v="0"/>
    <n v="12476"/>
    <n v="40"/>
    <s v="Delivered"/>
    <s v="Medium"/>
    <s v="Bulk Order"/>
    <s v="Home-Mumbai"/>
    <s v="Hom"/>
    <m/>
  </r>
  <r>
    <x v="999"/>
    <s v="USB Cable"/>
    <x v="1"/>
    <n v="4563"/>
    <x v="0"/>
    <s v="2023-08-18"/>
    <x v="0"/>
    <x v="1"/>
    <n v="18252"/>
    <n v="33"/>
    <s v="Delivered"/>
    <s v="Medium"/>
    <s v="Bulk Order"/>
    <s v="Fitness-Chennai"/>
    <s v="Fit"/>
    <m/>
  </r>
  <r>
    <x v="1000"/>
    <s v="Fitness Band"/>
    <x v="4"/>
    <n v="1467"/>
    <x v="1"/>
    <s v="2023-08-30"/>
    <x v="4"/>
    <x v="3"/>
    <n v="4401"/>
    <n v="90"/>
    <s v="Delivered"/>
    <s v="Medium"/>
    <s v="Bulk Order"/>
    <s v="Electronics-Delhi"/>
    <s v="Ele"/>
    <m/>
  </r>
  <r>
    <x v="1001"/>
    <s v="Wireless Earbuds"/>
    <x v="0"/>
    <n v="1458"/>
    <x v="3"/>
    <s v="2023-04-11"/>
    <x v="0"/>
    <x v="3"/>
    <n v="1458"/>
    <n v="36"/>
    <s v="Cancelled"/>
    <s v="High"/>
    <s v="Normal Order"/>
    <s v="Lifestyle-Chennai"/>
    <s v="Lif"/>
    <m/>
  </r>
  <r>
    <x v="1002"/>
    <s v="Wireless Earbuds"/>
    <x v="0"/>
    <n v="3306"/>
    <x v="1"/>
    <s v="2023-03-12"/>
    <x v="5"/>
    <x v="2"/>
    <n v="9918"/>
    <n v="76"/>
    <s v="Delivered"/>
    <s v="Medium"/>
    <s v="Bulk Order"/>
    <s v="Lifestyle-Bangalore"/>
    <s v="Lif"/>
    <m/>
  </r>
  <r>
    <x v="1003"/>
    <s v="Bluetooth Speaker"/>
    <x v="3"/>
    <n v="2162"/>
    <x v="0"/>
    <s v="2023-07-08"/>
    <x v="2"/>
    <x v="3"/>
    <n v="8648"/>
    <n v="39"/>
    <s v="Delivered"/>
    <s v="Medium"/>
    <s v="Bulk Order"/>
    <s v="Accessories-Hyderabad"/>
    <s v="Acc"/>
    <m/>
  </r>
  <r>
    <x v="1004"/>
    <s v="Laptop Stand"/>
    <x v="3"/>
    <n v="3241"/>
    <x v="1"/>
    <s v="2023-08-22"/>
    <x v="0"/>
    <x v="3"/>
    <n v="9723"/>
    <n v="38"/>
    <s v="Delivered"/>
    <s v="Medium"/>
    <s v="Bulk Order"/>
    <s v="Accessories-Chennai"/>
    <s v="Acc"/>
    <m/>
  </r>
  <r>
    <x v="1005"/>
    <s v="LED Bulb"/>
    <x v="2"/>
    <n v="557"/>
    <x v="0"/>
    <s v="2023-05-13"/>
    <x v="3"/>
    <x v="2"/>
    <n v="2228"/>
    <n v="36"/>
    <s v="Delivered"/>
    <s v="Medium"/>
    <s v="Bulk Order"/>
    <s v="Home-Mumbai"/>
    <s v="Hom"/>
    <m/>
  </r>
  <r>
    <x v="1006"/>
    <s v="LED Bulb"/>
    <x v="1"/>
    <n v="4688"/>
    <x v="3"/>
    <s v="2023-04-06"/>
    <x v="3"/>
    <x v="3"/>
    <n v="4688"/>
    <n v="65"/>
    <s v="Delivered"/>
    <s v="Medium"/>
    <s v="Normal Order"/>
    <s v="Fitness-Mumbai"/>
    <s v="Fit"/>
    <m/>
  </r>
  <r>
    <x v="1007"/>
    <s v="Smartphone Case"/>
    <x v="1"/>
    <n v="3160"/>
    <x v="1"/>
    <s v="2023-12-22"/>
    <x v="4"/>
    <x v="3"/>
    <n v="9480"/>
    <n v="38"/>
    <s v="Delivered"/>
    <s v="High"/>
    <s v="Bulk Order"/>
    <s v="Fitness-Delhi"/>
    <s v="Fit"/>
    <m/>
  </r>
  <r>
    <x v="1008"/>
    <s v="USB Cable"/>
    <x v="0"/>
    <n v="2588"/>
    <x v="1"/>
    <s v="2023-10-11"/>
    <x v="4"/>
    <x v="2"/>
    <n v="7764"/>
    <n v="26"/>
    <s v="Cancelled"/>
    <s v="High"/>
    <s v="Bulk Order"/>
    <s v="Lifestyle-Delhi"/>
    <s v="Lif"/>
    <m/>
  </r>
  <r>
    <x v="1009"/>
    <s v="Fitness Band"/>
    <x v="1"/>
    <n v="608"/>
    <x v="3"/>
    <s v="2023-09-12"/>
    <x v="4"/>
    <x v="3"/>
    <n v="608"/>
    <n v="86"/>
    <s v="Pending"/>
    <s v="High"/>
    <s v="Normal Order"/>
    <s v="Fitness-Delhi"/>
    <s v="Fit"/>
    <m/>
  </r>
  <r>
    <x v="1010"/>
    <s v="Water Bottle"/>
    <x v="2"/>
    <n v="1733"/>
    <x v="2"/>
    <s v="2023-08-13"/>
    <x v="2"/>
    <x v="1"/>
    <n v="3466"/>
    <n v="75"/>
    <s v="Delivered"/>
    <s v="Medium"/>
    <s v="Normal Order"/>
    <s v="Home-Hyderabad"/>
    <s v="Hom"/>
    <m/>
  </r>
  <r>
    <x v="1011"/>
    <s v="Coffee Mug"/>
    <x v="4"/>
    <n v="798"/>
    <x v="1"/>
    <s v="2023-04-07"/>
    <x v="0"/>
    <x v="1"/>
    <n v="2394"/>
    <n v="38"/>
    <s v="Delivered"/>
    <s v="High"/>
    <s v="Bulk Order"/>
    <s v="Electronics-Chennai"/>
    <s v="Ele"/>
    <m/>
  </r>
  <r>
    <x v="1012"/>
    <s v="Desk Organizer"/>
    <x v="2"/>
    <n v="3078"/>
    <x v="3"/>
    <s v="2023-12-02"/>
    <x v="2"/>
    <x v="0"/>
    <n v="3078"/>
    <n v="100"/>
    <s v="Delivered"/>
    <s v="High"/>
    <s v="Normal Order"/>
    <s v="Home-Hyderabad"/>
    <s v="Hom"/>
    <m/>
  </r>
  <r>
    <x v="1013"/>
    <s v="Coffee Mug"/>
    <x v="1"/>
    <n v="2810"/>
    <x v="1"/>
    <s v="2023-03-22"/>
    <x v="1"/>
    <x v="3"/>
    <n v="8430"/>
    <n v="62"/>
    <s v="Delivered"/>
    <s v="High"/>
    <s v="Bulk Order"/>
    <s v="Fitness-Kolkata"/>
    <s v="Fit"/>
    <m/>
  </r>
  <r>
    <x v="1014"/>
    <s v="Fitness Band"/>
    <x v="1"/>
    <n v="4951"/>
    <x v="2"/>
    <s v="2023-11-28"/>
    <x v="3"/>
    <x v="0"/>
    <n v="9902"/>
    <n v="83"/>
    <s v="Delivered"/>
    <s v="Low"/>
    <s v="Normal Order"/>
    <s v="Fitness-Mumbai"/>
    <s v="Fit"/>
    <m/>
  </r>
  <r>
    <x v="1015"/>
    <s v="Water Bottle"/>
    <x v="1"/>
    <n v="2019"/>
    <x v="1"/>
    <s v="2023-08-23"/>
    <x v="1"/>
    <x v="2"/>
    <n v="6057"/>
    <n v="95"/>
    <s v="Delivered"/>
    <s v="Medium"/>
    <s v="Bulk Order"/>
    <s v="Fitness-Kolkata"/>
    <s v="Fit"/>
    <m/>
  </r>
  <r>
    <x v="1016"/>
    <s v="Desk Organizer"/>
    <x v="2"/>
    <n v="3278"/>
    <x v="0"/>
    <s v="2023-07-14"/>
    <x v="1"/>
    <x v="1"/>
    <n v="13112"/>
    <n v="44"/>
    <s v="Pending"/>
    <s v="Low"/>
    <s v="Bulk Order"/>
    <s v="Home-Kolkata"/>
    <s v="Hom"/>
    <m/>
  </r>
  <r>
    <x v="1017"/>
    <s v="Fitness Band"/>
    <x v="4"/>
    <n v="265"/>
    <x v="3"/>
    <s v="2023-07-26"/>
    <x v="3"/>
    <x v="2"/>
    <n v="265"/>
    <n v="73"/>
    <s v="Delivered"/>
    <s v="Medium"/>
    <s v="Normal Order"/>
    <s v="Electronics-Mumbai"/>
    <s v="Ele"/>
    <m/>
  </r>
  <r>
    <x v="1018"/>
    <s v="Power Bank"/>
    <x v="2"/>
    <n v="2371"/>
    <x v="3"/>
    <s v="2023-03-13"/>
    <x v="4"/>
    <x v="1"/>
    <n v="2371"/>
    <n v="68"/>
    <s v="Delivered"/>
    <s v="Medium"/>
    <s v="Normal Order"/>
    <s v="Home-Delhi"/>
    <s v="Hom"/>
    <m/>
  </r>
  <r>
    <x v="1019"/>
    <s v="Power Bank"/>
    <x v="1"/>
    <n v="4258"/>
    <x v="0"/>
    <s v="2023-01-16"/>
    <x v="1"/>
    <x v="3"/>
    <n v="17032"/>
    <n v="38"/>
    <s v="Delivered"/>
    <s v="Medium"/>
    <s v="Bulk Order"/>
    <s v="Fitness-Kolkata"/>
    <s v="Fit"/>
    <m/>
  </r>
  <r>
    <x v="1020"/>
    <s v="Smartphone Case"/>
    <x v="4"/>
    <n v="2486"/>
    <x v="0"/>
    <s v="2023-02-18"/>
    <x v="2"/>
    <x v="2"/>
    <n v="9944"/>
    <n v="23"/>
    <s v="Delivered"/>
    <s v="Medium"/>
    <s v="Bulk Order"/>
    <s v="Electronics-Hyderabad"/>
    <s v="Ele"/>
    <m/>
  </r>
  <r>
    <x v="1021"/>
    <s v="Water Bottle"/>
    <x v="0"/>
    <n v="767"/>
    <x v="1"/>
    <s v="2023-10-11"/>
    <x v="5"/>
    <x v="3"/>
    <n v="2301"/>
    <n v="83"/>
    <s v="Delivered"/>
    <s v="Medium"/>
    <s v="Bulk Order"/>
    <s v="Lifestyle-Bangalore"/>
    <s v="Lif"/>
    <m/>
  </r>
  <r>
    <x v="1022"/>
    <s v="LED Bulb"/>
    <x v="3"/>
    <n v="1369"/>
    <x v="1"/>
    <s v="2023-03-02"/>
    <x v="1"/>
    <x v="1"/>
    <n v="4107"/>
    <n v="49"/>
    <s v="Delivered"/>
    <s v="High"/>
    <s v="Bulk Order"/>
    <s v="Accessories-Kolkata"/>
    <s v="Acc"/>
    <m/>
  </r>
  <r>
    <x v="1023"/>
    <s v="USB Cable"/>
    <x v="3"/>
    <n v="2091"/>
    <x v="3"/>
    <s v="2023-02-12"/>
    <x v="0"/>
    <x v="3"/>
    <n v="2091"/>
    <n v="42"/>
    <s v="Delivered"/>
    <s v="Medium"/>
    <s v="Normal Order"/>
    <s v="Accessories-Chennai"/>
    <s v="Acc"/>
    <m/>
  </r>
  <r>
    <x v="1024"/>
    <s v="Bluetooth Speaker"/>
    <x v="4"/>
    <n v="1654"/>
    <x v="1"/>
    <s v="2023-06-20"/>
    <x v="4"/>
    <x v="1"/>
    <n v="4962"/>
    <n v="60"/>
    <s v="Delivered"/>
    <s v="Medium"/>
    <s v="Bulk Order"/>
    <s v="Electronics-Delhi"/>
    <s v="Ele"/>
    <m/>
  </r>
  <r>
    <x v="1025"/>
    <s v="Coffee Mug"/>
    <x v="4"/>
    <n v="681"/>
    <x v="1"/>
    <s v="2023-01-13"/>
    <x v="5"/>
    <x v="0"/>
    <n v="2043"/>
    <n v="78"/>
    <s v="Delivered"/>
    <s v="Medium"/>
    <s v="Bulk Order"/>
    <s v="Electronics-Bangalore"/>
    <s v="Ele"/>
    <m/>
  </r>
  <r>
    <x v="1026"/>
    <s v="Wireless Earbuds"/>
    <x v="2"/>
    <n v="3519"/>
    <x v="1"/>
    <s v="2023-09-07"/>
    <x v="5"/>
    <x v="2"/>
    <n v="10557"/>
    <n v="40"/>
    <s v="Delivered"/>
    <s v="Medium"/>
    <s v="Bulk Order"/>
    <s v="Home-Bangalore"/>
    <s v="Hom"/>
    <m/>
  </r>
  <r>
    <x v="1027"/>
    <s v="Desk Organizer"/>
    <x v="3"/>
    <n v="2190"/>
    <x v="2"/>
    <s v="2023-12-04"/>
    <x v="0"/>
    <x v="0"/>
    <n v="4380"/>
    <n v="25"/>
    <s v="Delivered"/>
    <s v="High"/>
    <s v="Normal Order"/>
    <s v="Accessories-Chennai"/>
    <s v="Acc"/>
    <m/>
  </r>
  <r>
    <x v="1028"/>
    <s v="Bluetooth Speaker"/>
    <x v="1"/>
    <n v="4699"/>
    <x v="2"/>
    <s v="2023-08-06"/>
    <x v="0"/>
    <x v="1"/>
    <n v="9398"/>
    <n v="53"/>
    <s v="Delivered"/>
    <s v="Medium"/>
    <s v="Normal Order"/>
    <s v="Fitness-Chennai"/>
    <s v="Fit"/>
    <m/>
  </r>
  <r>
    <x v="1029"/>
    <s v="Fitness Band"/>
    <x v="0"/>
    <n v="3447"/>
    <x v="1"/>
    <s v="2023-12-26"/>
    <x v="0"/>
    <x v="0"/>
    <n v="10341"/>
    <n v="92"/>
    <s v="Delivered"/>
    <s v="Low"/>
    <s v="Bulk Order"/>
    <s v="Lifestyle-Chennai"/>
    <s v="Lif"/>
    <m/>
  </r>
  <r>
    <x v="1030"/>
    <s v="Coffee Mug"/>
    <x v="2"/>
    <n v="4433"/>
    <x v="3"/>
    <s v="2023-01-11"/>
    <x v="4"/>
    <x v="0"/>
    <n v="4433"/>
    <n v="43"/>
    <s v="Delivered"/>
    <s v="High"/>
    <s v="Normal Order"/>
    <s v="Home-Delhi"/>
    <s v="Hom"/>
    <m/>
  </r>
  <r>
    <x v="1031"/>
    <s v="Coffee Mug"/>
    <x v="3"/>
    <n v="3030"/>
    <x v="2"/>
    <s v="2023-02-23"/>
    <x v="5"/>
    <x v="1"/>
    <n v="6060"/>
    <n v="66"/>
    <s v="Delivered"/>
    <s v="Low"/>
    <s v="Normal Order"/>
    <s v="Accessories-Bangalore"/>
    <s v="Acc"/>
    <m/>
  </r>
  <r>
    <x v="1032"/>
    <s v="Water Bottle"/>
    <x v="0"/>
    <n v="3162"/>
    <x v="1"/>
    <s v="2023-02-21"/>
    <x v="3"/>
    <x v="0"/>
    <n v="9486"/>
    <n v="43"/>
    <s v="Delivered"/>
    <s v="Medium"/>
    <s v="Bulk Order"/>
    <s v="Lifestyle-Mumbai"/>
    <s v="Lif"/>
    <m/>
  </r>
  <r>
    <x v="1033"/>
    <s v="Bluetooth Speaker"/>
    <x v="0"/>
    <n v="347"/>
    <x v="2"/>
    <s v="2023-01-23"/>
    <x v="0"/>
    <x v="0"/>
    <n v="694"/>
    <n v="25"/>
    <s v="Delivered"/>
    <s v="Medium"/>
    <s v="Normal Order"/>
    <s v="Lifestyle-Chennai"/>
    <s v="Lif"/>
    <m/>
  </r>
  <r>
    <x v="1034"/>
    <s v="Power Bank"/>
    <x v="1"/>
    <n v="3150"/>
    <x v="1"/>
    <s v="2023-01-24"/>
    <x v="4"/>
    <x v="1"/>
    <n v="9450"/>
    <n v="74"/>
    <s v="Delivered"/>
    <s v="Medium"/>
    <s v="Bulk Order"/>
    <s v="Fitness-Delhi"/>
    <s v="Fit"/>
    <m/>
  </r>
  <r>
    <x v="1035"/>
    <s v="Smartphone Case"/>
    <x v="0"/>
    <n v="3116"/>
    <x v="3"/>
    <s v="2023-09-11"/>
    <x v="1"/>
    <x v="2"/>
    <n v="3116"/>
    <n v="47"/>
    <s v="Cancelled"/>
    <s v="Medium"/>
    <s v="Normal Order"/>
    <s v="Lifestyle-Kolkata"/>
    <s v="Lif"/>
    <m/>
  </r>
  <r>
    <x v="1036"/>
    <s v="Smartphone Case"/>
    <x v="3"/>
    <n v="1635"/>
    <x v="3"/>
    <s v="2023-11-28"/>
    <x v="2"/>
    <x v="3"/>
    <n v="1635"/>
    <n v="34"/>
    <s v="Cancelled"/>
    <s v="Medium"/>
    <s v="Normal Order"/>
    <s v="Accessories-Hyderabad"/>
    <s v="Acc"/>
    <m/>
  </r>
  <r>
    <x v="1037"/>
    <s v="Backpack"/>
    <x v="2"/>
    <n v="404"/>
    <x v="1"/>
    <s v="2023-01-08"/>
    <x v="2"/>
    <x v="3"/>
    <n v="1212"/>
    <n v="41"/>
    <s v="Delivered"/>
    <s v="Low"/>
    <s v="Bulk Order"/>
    <s v="Home-Hyderabad"/>
    <s v="Hom"/>
    <m/>
  </r>
  <r>
    <x v="1038"/>
    <s v="Fitness Band"/>
    <x v="0"/>
    <n v="2465"/>
    <x v="3"/>
    <s v="2023-03-06"/>
    <x v="0"/>
    <x v="3"/>
    <n v="2465"/>
    <n v="96"/>
    <s v="Cancelled"/>
    <s v="High"/>
    <s v="Normal Order"/>
    <s v="Lifestyle-Chennai"/>
    <s v="Lif"/>
    <m/>
  </r>
  <r>
    <x v="1039"/>
    <s v="Coffee Mug"/>
    <x v="4"/>
    <n v="427"/>
    <x v="0"/>
    <s v="2023-08-31"/>
    <x v="3"/>
    <x v="3"/>
    <n v="1708"/>
    <n v="78"/>
    <s v="Pending"/>
    <s v="High"/>
    <s v="Bulk Order"/>
    <s v="Electronics-Mumbai"/>
    <s v="Ele"/>
    <m/>
  </r>
  <r>
    <x v="1040"/>
    <s v="Fitness Band"/>
    <x v="1"/>
    <n v="4790"/>
    <x v="0"/>
    <s v="2023-09-14"/>
    <x v="1"/>
    <x v="1"/>
    <n v="19160"/>
    <n v="59"/>
    <s v="Delivered"/>
    <s v="Medium"/>
    <s v="Bulk Order"/>
    <s v="Fitness-Kolkata"/>
    <s v="Fit"/>
    <m/>
  </r>
  <r>
    <x v="1041"/>
    <s v="Backpack"/>
    <x v="4"/>
    <n v="3369"/>
    <x v="3"/>
    <s v="2023-07-30"/>
    <x v="3"/>
    <x v="2"/>
    <n v="3369"/>
    <n v="69"/>
    <s v="Delivered"/>
    <s v="Medium"/>
    <s v="Normal Order"/>
    <s v="Electronics-Mumbai"/>
    <s v="Ele"/>
    <m/>
  </r>
  <r>
    <x v="1042"/>
    <s v="Smartphone Case"/>
    <x v="3"/>
    <n v="2772"/>
    <x v="0"/>
    <s v="2023-07-07"/>
    <x v="0"/>
    <x v="3"/>
    <n v="11088"/>
    <n v="41"/>
    <s v="Pending"/>
    <s v="High"/>
    <s v="Bulk Order"/>
    <s v="Accessories-Chennai"/>
    <s v="Acc"/>
    <m/>
  </r>
  <r>
    <x v="1043"/>
    <s v="Water Bottle"/>
    <x v="2"/>
    <n v="2268"/>
    <x v="1"/>
    <s v="2023-07-14"/>
    <x v="3"/>
    <x v="3"/>
    <n v="6804"/>
    <n v="90"/>
    <s v="Delivered"/>
    <s v="High"/>
    <s v="Bulk Order"/>
    <s v="Home-Mumbai"/>
    <s v="Hom"/>
    <m/>
  </r>
  <r>
    <x v="1044"/>
    <s v="Desk Organizer"/>
    <x v="1"/>
    <n v="2951"/>
    <x v="2"/>
    <s v="2023-03-09"/>
    <x v="0"/>
    <x v="0"/>
    <n v="5902"/>
    <n v="33"/>
    <s v="Pending"/>
    <s v="Low"/>
    <s v="Normal Order"/>
    <s v="Fitness-Chennai"/>
    <s v="Fit"/>
    <m/>
  </r>
  <r>
    <x v="1045"/>
    <s v="Coffee Mug"/>
    <x v="1"/>
    <n v="706"/>
    <x v="0"/>
    <s v="2023-10-27"/>
    <x v="4"/>
    <x v="3"/>
    <n v="2824"/>
    <n v="54"/>
    <s v="Pending"/>
    <s v="Medium"/>
    <s v="Bulk Order"/>
    <s v="Fitness-Delhi"/>
    <s v="Fit"/>
    <m/>
  </r>
  <r>
    <x v="1046"/>
    <s v="Laptop Stand"/>
    <x v="0"/>
    <n v="2697"/>
    <x v="2"/>
    <s v="2023-10-19"/>
    <x v="5"/>
    <x v="3"/>
    <n v="5394"/>
    <n v="61"/>
    <s v="Pending"/>
    <s v="Low"/>
    <s v="Normal Order"/>
    <s v="Lifestyle-Bangalore"/>
    <s v="Lif"/>
    <m/>
  </r>
  <r>
    <x v="1047"/>
    <s v="Desk Organizer"/>
    <x v="4"/>
    <n v="1927"/>
    <x v="2"/>
    <s v="2023-03-27"/>
    <x v="2"/>
    <x v="2"/>
    <n v="3854"/>
    <n v="62"/>
    <s v="Delivered"/>
    <s v="Low"/>
    <s v="Normal Order"/>
    <s v="Electronics-Hyderabad"/>
    <s v="Ele"/>
    <m/>
  </r>
  <r>
    <x v="1048"/>
    <s v="Desk Organizer"/>
    <x v="0"/>
    <n v="3328"/>
    <x v="2"/>
    <s v="2023-03-22"/>
    <x v="1"/>
    <x v="0"/>
    <n v="6656"/>
    <n v="67"/>
    <s v="Delivered"/>
    <s v="Medium"/>
    <s v="Normal Order"/>
    <s v="Lifestyle-Kolkata"/>
    <s v="Lif"/>
    <m/>
  </r>
  <r>
    <x v="1049"/>
    <s v="Power Bank"/>
    <x v="2"/>
    <n v="3882"/>
    <x v="3"/>
    <s v="2023-01-05"/>
    <x v="0"/>
    <x v="2"/>
    <n v="3882"/>
    <n v="30"/>
    <s v="Pending"/>
    <s v="Medium"/>
    <s v="Normal Order"/>
    <s v="Home-Chennai"/>
    <s v="Hom"/>
    <m/>
  </r>
  <r>
    <x v="1050"/>
    <s v="Smartphone Case"/>
    <x v="2"/>
    <n v="682"/>
    <x v="1"/>
    <s v="2023-06-14"/>
    <x v="5"/>
    <x v="1"/>
    <n v="2046"/>
    <n v="80"/>
    <s v="Pending"/>
    <s v="Medium"/>
    <s v="Bulk Order"/>
    <s v="Home-Bangalore"/>
    <s v="Hom"/>
    <m/>
  </r>
  <r>
    <x v="1051"/>
    <s v="Wireless Earbuds"/>
    <x v="3"/>
    <n v="3994"/>
    <x v="3"/>
    <s v="2023-06-18"/>
    <x v="3"/>
    <x v="3"/>
    <n v="3994"/>
    <n v="90"/>
    <s v="Pending"/>
    <s v="Low"/>
    <s v="Normal Order"/>
    <s v="Accessories-Mumbai"/>
    <s v="Acc"/>
    <m/>
  </r>
  <r>
    <x v="1052"/>
    <s v="Fitness Band"/>
    <x v="1"/>
    <n v="4278"/>
    <x v="0"/>
    <s v="2023-11-29"/>
    <x v="2"/>
    <x v="2"/>
    <n v="17112"/>
    <n v="61"/>
    <s v="Pending"/>
    <s v="Low"/>
    <s v="Bulk Order"/>
    <s v="Fitness-Hyderabad"/>
    <s v="Fit"/>
    <m/>
  </r>
  <r>
    <x v="1053"/>
    <s v="Water Bottle"/>
    <x v="4"/>
    <n v="786"/>
    <x v="1"/>
    <s v="2023-10-08"/>
    <x v="2"/>
    <x v="3"/>
    <n v="2358"/>
    <n v="82"/>
    <s v="Delivered"/>
    <s v="Low"/>
    <s v="Bulk Order"/>
    <s v="Electronics-Hyderabad"/>
    <s v="Ele"/>
    <m/>
  </r>
  <r>
    <x v="1054"/>
    <s v="USB Cable"/>
    <x v="4"/>
    <n v="3563"/>
    <x v="0"/>
    <s v="2023-05-13"/>
    <x v="5"/>
    <x v="1"/>
    <n v="14252"/>
    <n v="93"/>
    <s v="Pending"/>
    <s v="Medium"/>
    <s v="Bulk Order"/>
    <s v="Electronics-Bangalore"/>
    <s v="Ele"/>
    <m/>
  </r>
  <r>
    <x v="1055"/>
    <s v="Power Bank"/>
    <x v="3"/>
    <n v="4894"/>
    <x v="1"/>
    <s v="2023-03-15"/>
    <x v="4"/>
    <x v="1"/>
    <n v="14682"/>
    <n v="39"/>
    <s v="Delivered"/>
    <s v="Medium"/>
    <s v="Bulk Order"/>
    <s v="Accessories-Delhi"/>
    <s v="Acc"/>
    <m/>
  </r>
  <r>
    <x v="1056"/>
    <s v="Desk Organizer"/>
    <x v="0"/>
    <n v="2475"/>
    <x v="1"/>
    <s v="2023-11-01"/>
    <x v="3"/>
    <x v="0"/>
    <n v="7425"/>
    <n v="80"/>
    <s v="Delivered"/>
    <s v="Medium"/>
    <s v="Bulk Order"/>
    <s v="Lifestyle-Mumbai"/>
    <s v="Lif"/>
    <m/>
  </r>
  <r>
    <x v="1057"/>
    <s v="LED Bulb"/>
    <x v="0"/>
    <n v="1085"/>
    <x v="2"/>
    <s v="2023-06-29"/>
    <x v="1"/>
    <x v="0"/>
    <n v="2170"/>
    <n v="26"/>
    <s v="Delivered"/>
    <s v="High"/>
    <s v="Normal Order"/>
    <s v="Lifestyle-Kolkata"/>
    <s v="Lif"/>
    <m/>
  </r>
  <r>
    <x v="1058"/>
    <s v="USB Cable"/>
    <x v="0"/>
    <n v="2680"/>
    <x v="3"/>
    <s v="2023-10-13"/>
    <x v="4"/>
    <x v="3"/>
    <n v="2680"/>
    <n v="72"/>
    <s v="Delivered"/>
    <s v="Low"/>
    <s v="Normal Order"/>
    <s v="Lifestyle-Delhi"/>
    <s v="Lif"/>
    <m/>
  </r>
  <r>
    <x v="1059"/>
    <s v="USB Cable"/>
    <x v="0"/>
    <n v="1764"/>
    <x v="0"/>
    <s v="2023-01-27"/>
    <x v="3"/>
    <x v="2"/>
    <n v="7056"/>
    <n v="29"/>
    <s v="Delivered"/>
    <s v="Medium"/>
    <s v="Bulk Order"/>
    <s v="Lifestyle-Mumbai"/>
    <s v="Lif"/>
    <m/>
  </r>
  <r>
    <x v="1060"/>
    <s v="Wireless Earbuds"/>
    <x v="1"/>
    <n v="469"/>
    <x v="1"/>
    <s v="2023-05-18"/>
    <x v="2"/>
    <x v="3"/>
    <n v="1407"/>
    <n v="47"/>
    <s v="Cancelled"/>
    <s v="High"/>
    <s v="Bulk Order"/>
    <s v="Fitness-Hyderabad"/>
    <s v="Fit"/>
    <m/>
  </r>
  <r>
    <x v="1061"/>
    <s v="Laptop Stand"/>
    <x v="0"/>
    <n v="448"/>
    <x v="1"/>
    <s v="2023-03-05"/>
    <x v="3"/>
    <x v="3"/>
    <n v="1344"/>
    <n v="45"/>
    <s v="Pending"/>
    <s v="High"/>
    <s v="Bulk Order"/>
    <s v="Lifestyle-Mumbai"/>
    <s v="Lif"/>
    <m/>
  </r>
  <r>
    <x v="1062"/>
    <s v="Power Bank"/>
    <x v="0"/>
    <n v="1247"/>
    <x v="3"/>
    <s v="2023-12-14"/>
    <x v="0"/>
    <x v="2"/>
    <n v="1247"/>
    <n v="43"/>
    <s v="Delivered"/>
    <s v="Medium"/>
    <s v="Normal Order"/>
    <s v="Lifestyle-Chennai"/>
    <s v="Lif"/>
    <m/>
  </r>
  <r>
    <x v="1063"/>
    <s v="Desk Organizer"/>
    <x v="1"/>
    <n v="2703"/>
    <x v="0"/>
    <s v="2023-06-22"/>
    <x v="1"/>
    <x v="3"/>
    <n v="10812"/>
    <n v="72"/>
    <s v="Delivered"/>
    <s v="Low"/>
    <s v="Bulk Order"/>
    <s v="Fitness-Kolkata"/>
    <s v="Fit"/>
    <m/>
  </r>
  <r>
    <x v="1064"/>
    <s v="Coffee Mug"/>
    <x v="3"/>
    <n v="1893"/>
    <x v="1"/>
    <s v="2023-04-19"/>
    <x v="1"/>
    <x v="2"/>
    <n v="5679"/>
    <n v="93"/>
    <s v="Pending"/>
    <s v="Medium"/>
    <s v="Bulk Order"/>
    <s v="Accessories-Kolkata"/>
    <s v="Acc"/>
    <m/>
  </r>
  <r>
    <x v="1065"/>
    <s v="Backpack"/>
    <x v="4"/>
    <n v="4670"/>
    <x v="2"/>
    <s v="2023-11-10"/>
    <x v="2"/>
    <x v="3"/>
    <n v="9340"/>
    <n v="61"/>
    <s v="Delivered"/>
    <s v="High"/>
    <s v="Normal Order"/>
    <s v="Electronics-Hyderabad"/>
    <s v="Ele"/>
    <m/>
  </r>
  <r>
    <x v="1066"/>
    <s v="Smartphone Case"/>
    <x v="2"/>
    <n v="237"/>
    <x v="0"/>
    <s v="2023-04-21"/>
    <x v="2"/>
    <x v="2"/>
    <n v="948"/>
    <n v="42"/>
    <s v="Delivered"/>
    <s v="Low"/>
    <s v="Bulk Order"/>
    <s v="Home-Hyderabad"/>
    <s v="Hom"/>
    <m/>
  </r>
  <r>
    <x v="1067"/>
    <s v="Water Bottle"/>
    <x v="0"/>
    <n v="3615"/>
    <x v="2"/>
    <s v="2023-02-28"/>
    <x v="0"/>
    <x v="1"/>
    <n v="7230"/>
    <n v="47"/>
    <s v="Delivered"/>
    <s v="Medium"/>
    <s v="Normal Order"/>
    <s v="Lifestyle-Chennai"/>
    <s v="Lif"/>
    <m/>
  </r>
  <r>
    <x v="1068"/>
    <s v="USB Cable"/>
    <x v="3"/>
    <n v="4064"/>
    <x v="2"/>
    <s v="2023-05-27"/>
    <x v="4"/>
    <x v="3"/>
    <n v="8128"/>
    <n v="93"/>
    <s v="Delivered"/>
    <s v="High"/>
    <s v="Normal Order"/>
    <s v="Accessories-Delhi"/>
    <s v="Acc"/>
    <m/>
  </r>
  <r>
    <x v="1069"/>
    <s v="Laptop Stand"/>
    <x v="0"/>
    <n v="3320"/>
    <x v="2"/>
    <s v="2023-10-28"/>
    <x v="5"/>
    <x v="2"/>
    <n v="6640"/>
    <n v="20"/>
    <s v="Delivered"/>
    <s v="Medium"/>
    <s v="Normal Order"/>
    <s v="Lifestyle-Bangalore"/>
    <s v="Lif"/>
    <m/>
  </r>
  <r>
    <x v="1070"/>
    <s v="Water Bottle"/>
    <x v="2"/>
    <n v="1004"/>
    <x v="2"/>
    <s v="2023-04-09"/>
    <x v="4"/>
    <x v="3"/>
    <n v="2008"/>
    <n v="38"/>
    <s v="Cancelled"/>
    <s v="Medium"/>
    <s v="Normal Order"/>
    <s v="Home-Delhi"/>
    <s v="Hom"/>
    <m/>
  </r>
  <r>
    <x v="1071"/>
    <s v="Laptop Stand"/>
    <x v="0"/>
    <n v="2485"/>
    <x v="2"/>
    <s v="2023-08-14"/>
    <x v="4"/>
    <x v="0"/>
    <n v="4970"/>
    <n v="86"/>
    <s v="Pending"/>
    <s v="High"/>
    <s v="Normal Order"/>
    <s v="Lifestyle-Delhi"/>
    <s v="Lif"/>
    <m/>
  </r>
  <r>
    <x v="1072"/>
    <s v="Fitness Band"/>
    <x v="3"/>
    <n v="3486"/>
    <x v="0"/>
    <s v="2023-12-28"/>
    <x v="4"/>
    <x v="2"/>
    <n v="13944"/>
    <n v="60"/>
    <s v="Pending"/>
    <s v="Medium"/>
    <s v="Bulk Order"/>
    <s v="Accessories-Delhi"/>
    <s v="Acc"/>
    <m/>
  </r>
  <r>
    <x v="1073"/>
    <s v="Wireless Earbuds"/>
    <x v="3"/>
    <n v="3580"/>
    <x v="2"/>
    <s v="2023-01-11"/>
    <x v="0"/>
    <x v="3"/>
    <n v="7160"/>
    <n v="95"/>
    <s v="Pending"/>
    <s v="Medium"/>
    <s v="Normal Order"/>
    <s v="Accessories-Chennai"/>
    <s v="Acc"/>
    <m/>
  </r>
  <r>
    <x v="1074"/>
    <s v="Bluetooth Speaker"/>
    <x v="0"/>
    <n v="1082"/>
    <x v="2"/>
    <s v="2023-06-26"/>
    <x v="4"/>
    <x v="2"/>
    <n v="2164"/>
    <n v="96"/>
    <s v="Delivered"/>
    <s v="Low"/>
    <s v="Normal Order"/>
    <s v="Lifestyle-Delhi"/>
    <s v="Lif"/>
    <m/>
  </r>
  <r>
    <x v="1075"/>
    <s v="Backpack"/>
    <x v="1"/>
    <n v="3890"/>
    <x v="3"/>
    <s v="2023-02-02"/>
    <x v="1"/>
    <x v="1"/>
    <n v="3890"/>
    <n v="59"/>
    <s v="Pending"/>
    <s v="Medium"/>
    <s v="Normal Order"/>
    <s v="Fitness-Kolkata"/>
    <s v="Fit"/>
    <m/>
  </r>
  <r>
    <x v="1076"/>
    <s v="USB Cable"/>
    <x v="4"/>
    <n v="2824"/>
    <x v="1"/>
    <s v="2023-03-13"/>
    <x v="0"/>
    <x v="2"/>
    <n v="8472"/>
    <n v="30"/>
    <s v="Delivered"/>
    <s v="High"/>
    <s v="Bulk Order"/>
    <s v="Electronics-Chennai"/>
    <s v="Ele"/>
    <m/>
  </r>
  <r>
    <x v="1077"/>
    <s v="USB Cable"/>
    <x v="2"/>
    <n v="4951"/>
    <x v="2"/>
    <s v="2023-12-18"/>
    <x v="1"/>
    <x v="3"/>
    <n v="9902"/>
    <n v="97"/>
    <s v="Delivered"/>
    <s v="Medium"/>
    <s v="Normal Order"/>
    <s v="Home-Kolkata"/>
    <s v="Hom"/>
    <m/>
  </r>
  <r>
    <x v="1078"/>
    <s v="Wireless Earbuds"/>
    <x v="0"/>
    <n v="1487"/>
    <x v="0"/>
    <s v="2023-12-17"/>
    <x v="1"/>
    <x v="2"/>
    <n v="5948"/>
    <n v="75"/>
    <s v="Pending"/>
    <s v="High"/>
    <s v="Bulk Order"/>
    <s v="Lifestyle-Kolkata"/>
    <s v="Lif"/>
    <m/>
  </r>
  <r>
    <x v="1079"/>
    <s v="Coffee Mug"/>
    <x v="2"/>
    <n v="4885"/>
    <x v="1"/>
    <s v="2023-02-16"/>
    <x v="2"/>
    <x v="0"/>
    <n v="14655"/>
    <n v="66"/>
    <s v="Delivered"/>
    <s v="Medium"/>
    <s v="Bulk Order"/>
    <s v="Home-Hyderabad"/>
    <s v="Hom"/>
    <m/>
  </r>
  <r>
    <x v="1080"/>
    <s v="Desk Organizer"/>
    <x v="1"/>
    <n v="4112"/>
    <x v="0"/>
    <s v="2023-01-01"/>
    <x v="0"/>
    <x v="2"/>
    <n v="16448"/>
    <n v="52"/>
    <s v="Cancelled"/>
    <s v="Medium"/>
    <s v="Bulk Order"/>
    <s v="Fitness-Chennai"/>
    <s v="Fit"/>
    <m/>
  </r>
  <r>
    <x v="1081"/>
    <s v="Smartphone Case"/>
    <x v="4"/>
    <n v="3282"/>
    <x v="0"/>
    <s v="2023-03-11"/>
    <x v="3"/>
    <x v="0"/>
    <n v="13128"/>
    <n v="43"/>
    <s v="Delivered"/>
    <s v="High"/>
    <s v="Bulk Order"/>
    <s v="Electronics-Mumbai"/>
    <s v="Ele"/>
    <m/>
  </r>
  <r>
    <x v="1082"/>
    <s v="Fitness Band"/>
    <x v="1"/>
    <n v="1988"/>
    <x v="0"/>
    <s v="2023-07-09"/>
    <x v="1"/>
    <x v="3"/>
    <n v="7952"/>
    <n v="57"/>
    <s v="Pending"/>
    <s v="Medium"/>
    <s v="Bulk Order"/>
    <s v="Fitness-Kolkata"/>
    <s v="Fit"/>
    <m/>
  </r>
  <r>
    <x v="1083"/>
    <s v="Water Bottle"/>
    <x v="3"/>
    <n v="4601"/>
    <x v="3"/>
    <s v="2023-08-31"/>
    <x v="2"/>
    <x v="1"/>
    <n v="4601"/>
    <n v="56"/>
    <s v="Delivered"/>
    <s v="Medium"/>
    <s v="Normal Order"/>
    <s v="Accessories-Hyderabad"/>
    <s v="Acc"/>
    <m/>
  </r>
  <r>
    <x v="1084"/>
    <s v="Fitness Band"/>
    <x v="4"/>
    <n v="3171"/>
    <x v="0"/>
    <s v="2023-04-09"/>
    <x v="1"/>
    <x v="1"/>
    <n v="12684"/>
    <n v="65"/>
    <s v="Cancelled"/>
    <s v="High"/>
    <s v="Bulk Order"/>
    <s v="Electronics-Kolkata"/>
    <s v="Ele"/>
    <m/>
  </r>
  <r>
    <x v="1085"/>
    <s v="Bluetooth Speaker"/>
    <x v="3"/>
    <n v="3100"/>
    <x v="1"/>
    <s v="2023-05-17"/>
    <x v="0"/>
    <x v="0"/>
    <n v="9300"/>
    <n v="52"/>
    <s v="Cancelled"/>
    <s v="High"/>
    <s v="Bulk Order"/>
    <s v="Accessories-Chennai"/>
    <s v="Acc"/>
    <m/>
  </r>
  <r>
    <x v="1086"/>
    <s v="Water Bottle"/>
    <x v="3"/>
    <n v="2418"/>
    <x v="3"/>
    <s v="2023-08-27"/>
    <x v="2"/>
    <x v="1"/>
    <n v="2418"/>
    <n v="88"/>
    <s v="Delivered"/>
    <s v="Low"/>
    <s v="Normal Order"/>
    <s v="Accessories-Hyderabad"/>
    <s v="Acc"/>
    <m/>
  </r>
  <r>
    <x v="1087"/>
    <s v="Laptop Stand"/>
    <x v="4"/>
    <n v="917"/>
    <x v="3"/>
    <s v="2023-10-09"/>
    <x v="4"/>
    <x v="2"/>
    <n v="917"/>
    <n v="39"/>
    <s v="Cancelled"/>
    <s v="Medium"/>
    <s v="Normal Order"/>
    <s v="Electronics-Delhi"/>
    <s v="Ele"/>
    <m/>
  </r>
  <r>
    <x v="1088"/>
    <s v="Coffee Mug"/>
    <x v="1"/>
    <n v="523"/>
    <x v="1"/>
    <s v="2023-04-19"/>
    <x v="3"/>
    <x v="3"/>
    <n v="1569"/>
    <n v="46"/>
    <s v="Delivered"/>
    <s v="Medium"/>
    <s v="Bulk Order"/>
    <s v="Fitness-Mumbai"/>
    <s v="Fit"/>
    <m/>
  </r>
  <r>
    <x v="1089"/>
    <s v="Water Bottle"/>
    <x v="4"/>
    <n v="4664"/>
    <x v="0"/>
    <s v="2023-08-05"/>
    <x v="4"/>
    <x v="3"/>
    <n v="18656"/>
    <n v="58"/>
    <s v="Delivered"/>
    <s v="Medium"/>
    <s v="Bulk Order"/>
    <s v="Electronics-Delhi"/>
    <s v="Ele"/>
    <m/>
  </r>
  <r>
    <x v="1090"/>
    <s v="Water Bottle"/>
    <x v="3"/>
    <n v="2741"/>
    <x v="0"/>
    <s v="2023-10-09"/>
    <x v="4"/>
    <x v="3"/>
    <n v="10964"/>
    <n v="49"/>
    <s v="Delivered"/>
    <s v="Low"/>
    <s v="Bulk Order"/>
    <s v="Accessories-Delhi"/>
    <s v="Acc"/>
    <m/>
  </r>
  <r>
    <x v="1091"/>
    <s v="Power Bank"/>
    <x v="1"/>
    <n v="2607"/>
    <x v="1"/>
    <s v="2023-09-02"/>
    <x v="2"/>
    <x v="0"/>
    <n v="7821"/>
    <n v="55"/>
    <s v="Delivered"/>
    <s v="Medium"/>
    <s v="Bulk Order"/>
    <s v="Fitness-Hyderabad"/>
    <s v="Fit"/>
    <m/>
  </r>
  <r>
    <x v="1092"/>
    <s v="Coffee Mug"/>
    <x v="3"/>
    <n v="375"/>
    <x v="2"/>
    <s v="2023-11-05"/>
    <x v="1"/>
    <x v="2"/>
    <n v="750"/>
    <n v="34"/>
    <s v="Delivered"/>
    <s v="High"/>
    <s v="Normal Order"/>
    <s v="Accessories-Kolkata"/>
    <s v="Acc"/>
    <m/>
  </r>
  <r>
    <x v="1093"/>
    <s v="USB Cable"/>
    <x v="0"/>
    <n v="4814"/>
    <x v="2"/>
    <s v="2023-08-12"/>
    <x v="2"/>
    <x v="1"/>
    <n v="9628"/>
    <n v="49"/>
    <s v="Cancelled"/>
    <s v="Low"/>
    <s v="Normal Order"/>
    <s v="Lifestyle-Hyderabad"/>
    <s v="Lif"/>
    <m/>
  </r>
  <r>
    <x v="1094"/>
    <s v="LED Bulb"/>
    <x v="1"/>
    <n v="4504"/>
    <x v="0"/>
    <s v="2023-11-24"/>
    <x v="4"/>
    <x v="3"/>
    <n v="18016"/>
    <n v="67"/>
    <s v="Pending"/>
    <s v="Medium"/>
    <s v="Bulk Order"/>
    <s v="Fitness-Delhi"/>
    <s v="Fit"/>
    <m/>
  </r>
  <r>
    <x v="1095"/>
    <s v="Wireless Earbuds"/>
    <x v="2"/>
    <n v="4437"/>
    <x v="3"/>
    <s v="2023-06-18"/>
    <x v="5"/>
    <x v="1"/>
    <n v="4437"/>
    <n v="27"/>
    <s v="Delivered"/>
    <s v="Medium"/>
    <s v="Normal Order"/>
    <s v="Home-Bangalore"/>
    <s v="Hom"/>
    <m/>
  </r>
  <r>
    <x v="1096"/>
    <s v="Laptop Stand"/>
    <x v="4"/>
    <n v="3194"/>
    <x v="3"/>
    <s v="2023-07-05"/>
    <x v="1"/>
    <x v="0"/>
    <n v="3194"/>
    <n v="55"/>
    <s v="Delivered"/>
    <s v="Medium"/>
    <s v="Normal Order"/>
    <s v="Electronics-Kolkata"/>
    <s v="Ele"/>
    <m/>
  </r>
  <r>
    <x v="1097"/>
    <s v="Fitness Band"/>
    <x v="4"/>
    <n v="3584"/>
    <x v="1"/>
    <s v="2023-04-05"/>
    <x v="0"/>
    <x v="3"/>
    <n v="10752"/>
    <n v="60"/>
    <s v="Delivered"/>
    <s v="High"/>
    <s v="Bulk Order"/>
    <s v="Electronics-Chennai"/>
    <s v="Ele"/>
    <m/>
  </r>
  <r>
    <x v="1098"/>
    <s v="Smartphone Case"/>
    <x v="0"/>
    <n v="2067"/>
    <x v="0"/>
    <s v="2023-04-30"/>
    <x v="3"/>
    <x v="2"/>
    <n v="8268"/>
    <n v="43"/>
    <s v="Delivered"/>
    <s v="High"/>
    <s v="Bulk Order"/>
    <s v="Lifestyle-Mumbai"/>
    <s v="Lif"/>
    <m/>
  </r>
  <r>
    <x v="1099"/>
    <s v="Coffee Mug"/>
    <x v="0"/>
    <n v="1632"/>
    <x v="0"/>
    <s v="2023-07-13"/>
    <x v="1"/>
    <x v="0"/>
    <n v="6528"/>
    <n v="89"/>
    <s v="Pending"/>
    <s v="Low"/>
    <s v="Bulk Order"/>
    <s v="Lifestyle-Kolkata"/>
    <s v="Lif"/>
    <m/>
  </r>
  <r>
    <x v="1100"/>
    <s v="Bluetooth Speaker"/>
    <x v="1"/>
    <n v="4733"/>
    <x v="0"/>
    <s v="2023-05-08"/>
    <x v="1"/>
    <x v="1"/>
    <n v="18932"/>
    <n v="28"/>
    <s v="Delivered"/>
    <s v="Medium"/>
    <s v="Bulk Order"/>
    <s v="Fitness-Kolkata"/>
    <s v="Fit"/>
    <m/>
  </r>
  <r>
    <x v="1101"/>
    <s v="LED Bulb"/>
    <x v="3"/>
    <n v="4046"/>
    <x v="2"/>
    <s v="2023-02-01"/>
    <x v="2"/>
    <x v="2"/>
    <n v="8092"/>
    <n v="38"/>
    <s v="Delivered"/>
    <s v="Medium"/>
    <s v="Normal Order"/>
    <s v="Accessories-Hyderabad"/>
    <s v="Acc"/>
    <m/>
  </r>
  <r>
    <x v="1102"/>
    <s v="Coffee Mug"/>
    <x v="4"/>
    <n v="1334"/>
    <x v="1"/>
    <s v="2023-09-16"/>
    <x v="3"/>
    <x v="3"/>
    <n v="4002"/>
    <n v="81"/>
    <s v="Pending"/>
    <s v="Medium"/>
    <s v="Bulk Order"/>
    <s v="Electronics-Mumbai"/>
    <s v="Ele"/>
    <m/>
  </r>
  <r>
    <x v="1103"/>
    <s v="Bluetooth Speaker"/>
    <x v="1"/>
    <n v="1735"/>
    <x v="1"/>
    <s v="2023-06-19"/>
    <x v="2"/>
    <x v="0"/>
    <n v="5205"/>
    <n v="97"/>
    <s v="Pending"/>
    <s v="Medium"/>
    <s v="Bulk Order"/>
    <s v="Fitness-Hyderabad"/>
    <s v="Fit"/>
    <m/>
  </r>
  <r>
    <x v="1104"/>
    <s v="Smartphone Case"/>
    <x v="0"/>
    <n v="3820"/>
    <x v="1"/>
    <s v="2023-10-21"/>
    <x v="0"/>
    <x v="1"/>
    <n v="11460"/>
    <n v="87"/>
    <s v="Delivered"/>
    <s v="Medium"/>
    <s v="Bulk Order"/>
    <s v="Lifestyle-Chennai"/>
    <s v="Lif"/>
    <m/>
  </r>
  <r>
    <x v="1105"/>
    <s v="Smartphone Case"/>
    <x v="1"/>
    <n v="2973"/>
    <x v="1"/>
    <s v="2023-12-24"/>
    <x v="1"/>
    <x v="2"/>
    <n v="8919"/>
    <n v="51"/>
    <s v="Pending"/>
    <s v="Medium"/>
    <s v="Bulk Order"/>
    <s v="Fitness-Kolkata"/>
    <s v="Fit"/>
    <m/>
  </r>
  <r>
    <x v="1106"/>
    <s v="Laptop Stand"/>
    <x v="1"/>
    <n v="2027"/>
    <x v="1"/>
    <s v="2023-12-18"/>
    <x v="0"/>
    <x v="3"/>
    <n v="6081"/>
    <n v="27"/>
    <s v="Delivered"/>
    <s v="Medium"/>
    <s v="Bulk Order"/>
    <s v="Fitness-Chennai"/>
    <s v="Fit"/>
    <m/>
  </r>
  <r>
    <x v="1107"/>
    <s v="Power Bank"/>
    <x v="0"/>
    <n v="4957"/>
    <x v="0"/>
    <s v="2023-11-15"/>
    <x v="2"/>
    <x v="1"/>
    <n v="19828"/>
    <n v="38"/>
    <s v="Delivered"/>
    <s v="Low"/>
    <s v="Bulk Order"/>
    <s v="Lifestyle-Hyderabad"/>
    <s v="Lif"/>
    <m/>
  </r>
  <r>
    <x v="1108"/>
    <s v="Bluetooth Speaker"/>
    <x v="1"/>
    <n v="4429"/>
    <x v="1"/>
    <s v="2023-03-30"/>
    <x v="0"/>
    <x v="0"/>
    <n v="13287"/>
    <n v="59"/>
    <s v="Delivered"/>
    <s v="Medium"/>
    <s v="Bulk Order"/>
    <s v="Fitness-Chennai"/>
    <s v="Fit"/>
    <m/>
  </r>
  <r>
    <x v="1109"/>
    <s v="LED Bulb"/>
    <x v="4"/>
    <n v="2094"/>
    <x v="3"/>
    <s v="2023-02-10"/>
    <x v="3"/>
    <x v="2"/>
    <n v="2094"/>
    <n v="46"/>
    <s v="Delivered"/>
    <s v="Medium"/>
    <s v="Normal Order"/>
    <s v="Electronics-Mumbai"/>
    <s v="Ele"/>
    <m/>
  </r>
  <r>
    <x v="1110"/>
    <s v="Desk Organizer"/>
    <x v="4"/>
    <n v="1547"/>
    <x v="3"/>
    <s v="2023-10-18"/>
    <x v="1"/>
    <x v="3"/>
    <n v="1547"/>
    <n v="52"/>
    <s v="Pending"/>
    <s v="Low"/>
    <s v="Normal Order"/>
    <s v="Electronics-Kolkata"/>
    <s v="Ele"/>
    <m/>
  </r>
  <r>
    <x v="1111"/>
    <s v="Fitness Band"/>
    <x v="3"/>
    <n v="4686"/>
    <x v="3"/>
    <s v="2023-01-08"/>
    <x v="0"/>
    <x v="1"/>
    <n v="4686"/>
    <n v="91"/>
    <s v="Delivered"/>
    <s v="Low"/>
    <s v="Normal Order"/>
    <s v="Accessories-Chennai"/>
    <s v="Acc"/>
    <m/>
  </r>
  <r>
    <x v="1112"/>
    <s v="Water Bottle"/>
    <x v="1"/>
    <n v="2782"/>
    <x v="2"/>
    <s v="2023-07-18"/>
    <x v="5"/>
    <x v="1"/>
    <n v="5564"/>
    <n v="90"/>
    <s v="Cancelled"/>
    <s v="Low"/>
    <s v="Normal Order"/>
    <s v="Fitness-Bangalore"/>
    <s v="Fit"/>
    <m/>
  </r>
  <r>
    <x v="1113"/>
    <s v="Wireless Earbuds"/>
    <x v="2"/>
    <n v="383"/>
    <x v="2"/>
    <s v="2023-04-26"/>
    <x v="4"/>
    <x v="3"/>
    <n v="766"/>
    <n v="40"/>
    <s v="Pending"/>
    <s v="High"/>
    <s v="Normal Order"/>
    <s v="Home-Delhi"/>
    <s v="Hom"/>
    <m/>
  </r>
  <r>
    <x v="1114"/>
    <s v="Power Bank"/>
    <x v="1"/>
    <n v="927"/>
    <x v="3"/>
    <s v="2023-01-04"/>
    <x v="4"/>
    <x v="3"/>
    <n v="927"/>
    <n v="33"/>
    <s v="Delivered"/>
    <s v="Medium"/>
    <s v="Normal Order"/>
    <s v="Fitness-Delhi"/>
    <s v="Fit"/>
    <m/>
  </r>
  <r>
    <x v="1115"/>
    <s v="Power Bank"/>
    <x v="4"/>
    <n v="1245"/>
    <x v="0"/>
    <s v="2023-03-22"/>
    <x v="0"/>
    <x v="0"/>
    <n v="4980"/>
    <n v="54"/>
    <s v="Delivered"/>
    <s v="Medium"/>
    <s v="Bulk Order"/>
    <s v="Electronics-Chennai"/>
    <s v="Ele"/>
    <m/>
  </r>
  <r>
    <x v="1116"/>
    <s v="Power Bank"/>
    <x v="0"/>
    <n v="3982"/>
    <x v="0"/>
    <s v="2023-05-07"/>
    <x v="1"/>
    <x v="2"/>
    <n v="15928"/>
    <n v="34"/>
    <s v="Pending"/>
    <s v="Medium"/>
    <s v="Bulk Order"/>
    <s v="Lifestyle-Kolkata"/>
    <s v="Lif"/>
    <m/>
  </r>
  <r>
    <x v="1117"/>
    <s v="Laptop Stand"/>
    <x v="0"/>
    <n v="1509"/>
    <x v="0"/>
    <s v="2023-06-19"/>
    <x v="4"/>
    <x v="3"/>
    <n v="6036"/>
    <n v="99"/>
    <s v="Delivered"/>
    <s v="Medium"/>
    <s v="Bulk Order"/>
    <s v="Lifestyle-Delhi"/>
    <s v="Lif"/>
    <m/>
  </r>
  <r>
    <x v="1118"/>
    <s v="Backpack"/>
    <x v="0"/>
    <n v="3148"/>
    <x v="0"/>
    <s v="2023-10-01"/>
    <x v="5"/>
    <x v="2"/>
    <n v="12592"/>
    <n v="25"/>
    <s v="Pending"/>
    <s v="Medium"/>
    <s v="Bulk Order"/>
    <s v="Lifestyle-Bangalore"/>
    <s v="Lif"/>
    <m/>
  </r>
  <r>
    <x v="1119"/>
    <s v="Wireless Earbuds"/>
    <x v="3"/>
    <n v="3026"/>
    <x v="3"/>
    <s v="2023-07-06"/>
    <x v="1"/>
    <x v="3"/>
    <n v="3026"/>
    <n v="85"/>
    <s v="Delivered"/>
    <s v="High"/>
    <s v="Normal Order"/>
    <s v="Accessories-Kolkata"/>
    <s v="Acc"/>
    <m/>
  </r>
  <r>
    <x v="1120"/>
    <s v="Wireless Earbuds"/>
    <x v="1"/>
    <n v="2525"/>
    <x v="2"/>
    <s v="2023-05-06"/>
    <x v="0"/>
    <x v="3"/>
    <n v="5050"/>
    <n v="82"/>
    <s v="Delivered"/>
    <s v="Medium"/>
    <s v="Normal Order"/>
    <s v="Fitness-Chennai"/>
    <s v="Fit"/>
    <m/>
  </r>
  <r>
    <x v="1121"/>
    <s v="LED Bulb"/>
    <x v="0"/>
    <n v="3392"/>
    <x v="3"/>
    <s v="2023-12-20"/>
    <x v="2"/>
    <x v="2"/>
    <n v="3392"/>
    <n v="56"/>
    <s v="Delivered"/>
    <s v="Medium"/>
    <s v="Normal Order"/>
    <s v="Lifestyle-Hyderabad"/>
    <s v="Lif"/>
    <m/>
  </r>
  <r>
    <x v="1122"/>
    <s v="Smartphone Case"/>
    <x v="4"/>
    <n v="1156"/>
    <x v="2"/>
    <s v="2023-10-24"/>
    <x v="3"/>
    <x v="2"/>
    <n v="2312"/>
    <n v="27"/>
    <s v="Pending"/>
    <s v="High"/>
    <s v="Normal Order"/>
    <s v="Electronics-Mumbai"/>
    <s v="Ele"/>
    <m/>
  </r>
  <r>
    <x v="1123"/>
    <s v="Power Bank"/>
    <x v="3"/>
    <n v="331"/>
    <x v="1"/>
    <s v="2023-03-17"/>
    <x v="2"/>
    <x v="2"/>
    <n v="993"/>
    <n v="92"/>
    <s v="Delivered"/>
    <s v="High"/>
    <s v="Bulk Order"/>
    <s v="Accessories-Hyderabad"/>
    <s v="Acc"/>
    <m/>
  </r>
  <r>
    <x v="1124"/>
    <s v="Wireless Earbuds"/>
    <x v="2"/>
    <n v="3422"/>
    <x v="3"/>
    <s v="2023-03-06"/>
    <x v="2"/>
    <x v="3"/>
    <n v="3422"/>
    <n v="66"/>
    <s v="Delivered"/>
    <s v="High"/>
    <s v="Normal Order"/>
    <s v="Home-Hyderabad"/>
    <s v="Hom"/>
    <m/>
  </r>
  <r>
    <x v="1125"/>
    <s v="LED Bulb"/>
    <x v="1"/>
    <n v="1415"/>
    <x v="2"/>
    <s v="2023-12-19"/>
    <x v="1"/>
    <x v="2"/>
    <n v="2830"/>
    <n v="34"/>
    <s v="Delivered"/>
    <s v="Medium"/>
    <s v="Normal Order"/>
    <s v="Fitness-Kolkata"/>
    <s v="Fit"/>
    <m/>
  </r>
  <r>
    <x v="1126"/>
    <s v="Power Bank"/>
    <x v="4"/>
    <n v="4281"/>
    <x v="2"/>
    <s v="2023-08-23"/>
    <x v="4"/>
    <x v="0"/>
    <n v="8562"/>
    <n v="35"/>
    <s v="Pending"/>
    <s v="Medium"/>
    <s v="Normal Order"/>
    <s v="Electronics-Delhi"/>
    <s v="Ele"/>
    <m/>
  </r>
  <r>
    <x v="1127"/>
    <s v="Coffee Mug"/>
    <x v="4"/>
    <n v="2187"/>
    <x v="0"/>
    <s v="2023-01-08"/>
    <x v="3"/>
    <x v="2"/>
    <n v="8748"/>
    <n v="69"/>
    <s v="Delivered"/>
    <s v="High"/>
    <s v="Bulk Order"/>
    <s v="Electronics-Mumbai"/>
    <s v="Ele"/>
    <m/>
  </r>
  <r>
    <x v="1128"/>
    <s v="Desk Organizer"/>
    <x v="0"/>
    <n v="1687"/>
    <x v="2"/>
    <s v="2023-06-23"/>
    <x v="2"/>
    <x v="3"/>
    <n v="3374"/>
    <n v="79"/>
    <s v="Delivered"/>
    <s v="High"/>
    <s v="Normal Order"/>
    <s v="Lifestyle-Hyderabad"/>
    <s v="Lif"/>
    <m/>
  </r>
  <r>
    <x v="1129"/>
    <s v="Power Bank"/>
    <x v="3"/>
    <n v="2989"/>
    <x v="2"/>
    <s v="2023-06-07"/>
    <x v="1"/>
    <x v="3"/>
    <n v="5978"/>
    <n v="47"/>
    <s v="Delivered"/>
    <s v="Low"/>
    <s v="Normal Order"/>
    <s v="Accessories-Kolkata"/>
    <s v="Acc"/>
    <m/>
  </r>
  <r>
    <x v="1130"/>
    <s v="Bluetooth Speaker"/>
    <x v="0"/>
    <n v="3141"/>
    <x v="0"/>
    <s v="2023-12-16"/>
    <x v="0"/>
    <x v="1"/>
    <n v="12564"/>
    <n v="37"/>
    <s v="Delivered"/>
    <s v="Medium"/>
    <s v="Bulk Order"/>
    <s v="Lifestyle-Chennai"/>
    <s v="Lif"/>
    <m/>
  </r>
  <r>
    <x v="1131"/>
    <s v="Smartphone Case"/>
    <x v="3"/>
    <n v="378"/>
    <x v="0"/>
    <s v="2023-09-23"/>
    <x v="1"/>
    <x v="0"/>
    <n v="1512"/>
    <n v="93"/>
    <s v="Pending"/>
    <s v="High"/>
    <s v="Bulk Order"/>
    <s v="Accessories-Kolkata"/>
    <s v="Acc"/>
    <m/>
  </r>
  <r>
    <x v="1132"/>
    <s v="Smartphone Case"/>
    <x v="1"/>
    <n v="3199"/>
    <x v="3"/>
    <s v="2023-08-16"/>
    <x v="2"/>
    <x v="0"/>
    <n v="3199"/>
    <n v="64"/>
    <s v="Delivered"/>
    <s v="Low"/>
    <s v="Normal Order"/>
    <s v="Fitness-Hyderabad"/>
    <s v="Fit"/>
    <m/>
  </r>
  <r>
    <x v="1133"/>
    <s v="Water Bottle"/>
    <x v="3"/>
    <n v="1402"/>
    <x v="2"/>
    <s v="2023-03-08"/>
    <x v="4"/>
    <x v="1"/>
    <n v="2804"/>
    <n v="47"/>
    <s v="Delivered"/>
    <s v="Medium"/>
    <s v="Normal Order"/>
    <s v="Accessories-Delhi"/>
    <s v="Acc"/>
    <m/>
  </r>
  <r>
    <x v="1134"/>
    <s v="Water Bottle"/>
    <x v="0"/>
    <n v="584"/>
    <x v="2"/>
    <s v="2023-07-08"/>
    <x v="0"/>
    <x v="1"/>
    <n v="1168"/>
    <n v="39"/>
    <s v="Delivered"/>
    <s v="High"/>
    <s v="Normal Order"/>
    <s v="Lifestyle-Chennai"/>
    <s v="Lif"/>
    <m/>
  </r>
  <r>
    <x v="1135"/>
    <s v="Coffee Mug"/>
    <x v="2"/>
    <n v="4595"/>
    <x v="1"/>
    <s v="2023-05-01"/>
    <x v="3"/>
    <x v="2"/>
    <n v="13785"/>
    <n v="57"/>
    <s v="Cancelled"/>
    <s v="Medium"/>
    <s v="Bulk Order"/>
    <s v="Home-Mumbai"/>
    <s v="Hom"/>
    <m/>
  </r>
  <r>
    <x v="1136"/>
    <s v="Water Bottle"/>
    <x v="3"/>
    <n v="1750"/>
    <x v="1"/>
    <s v="2023-12-29"/>
    <x v="2"/>
    <x v="0"/>
    <n v="5250"/>
    <n v="66"/>
    <s v="Delivered"/>
    <s v="Medium"/>
    <s v="Bulk Order"/>
    <s v="Accessories-Hyderabad"/>
    <s v="Acc"/>
    <m/>
  </r>
  <r>
    <x v="1137"/>
    <s v="Wireless Earbuds"/>
    <x v="2"/>
    <n v="679"/>
    <x v="2"/>
    <s v="2023-12-11"/>
    <x v="2"/>
    <x v="0"/>
    <n v="1358"/>
    <n v="34"/>
    <s v="Pending"/>
    <s v="High"/>
    <s v="Normal Order"/>
    <s v="Home-Hyderabad"/>
    <s v="Hom"/>
    <m/>
  </r>
  <r>
    <x v="1138"/>
    <s v="LED Bulb"/>
    <x v="3"/>
    <n v="2986"/>
    <x v="2"/>
    <s v="2023-10-09"/>
    <x v="2"/>
    <x v="0"/>
    <n v="5972"/>
    <n v="49"/>
    <s v="Delivered"/>
    <s v="Medium"/>
    <s v="Normal Order"/>
    <s v="Accessories-Hyderabad"/>
    <s v="Acc"/>
    <m/>
  </r>
  <r>
    <x v="1139"/>
    <s v="Fitness Band"/>
    <x v="1"/>
    <n v="1863"/>
    <x v="1"/>
    <s v="2023-06-29"/>
    <x v="3"/>
    <x v="1"/>
    <n v="5589"/>
    <n v="82"/>
    <s v="Pending"/>
    <s v="Low"/>
    <s v="Bulk Order"/>
    <s v="Fitness-Mumbai"/>
    <s v="Fit"/>
    <m/>
  </r>
  <r>
    <x v="1140"/>
    <s v="LED Bulb"/>
    <x v="3"/>
    <n v="2151"/>
    <x v="0"/>
    <s v="2023-04-27"/>
    <x v="0"/>
    <x v="3"/>
    <n v="8604"/>
    <n v="79"/>
    <s v="Cancelled"/>
    <s v="Low"/>
    <s v="Bulk Order"/>
    <s v="Accessories-Chennai"/>
    <s v="Acc"/>
    <m/>
  </r>
  <r>
    <x v="1141"/>
    <s v="Wireless Earbuds"/>
    <x v="4"/>
    <n v="2504"/>
    <x v="2"/>
    <s v="2023-05-10"/>
    <x v="1"/>
    <x v="2"/>
    <n v="5008"/>
    <n v="48"/>
    <s v="Delivered"/>
    <s v="High"/>
    <s v="Normal Order"/>
    <s v="Electronics-Kolkata"/>
    <s v="Ele"/>
    <m/>
  </r>
  <r>
    <x v="1142"/>
    <s v="Bluetooth Speaker"/>
    <x v="2"/>
    <n v="1832"/>
    <x v="3"/>
    <s v="2023-03-18"/>
    <x v="0"/>
    <x v="3"/>
    <n v="1832"/>
    <n v="82"/>
    <s v="Pending"/>
    <s v="Medium"/>
    <s v="Normal Order"/>
    <s v="Home-Chennai"/>
    <s v="Hom"/>
    <m/>
  </r>
  <r>
    <x v="1143"/>
    <s v="Desk Organizer"/>
    <x v="0"/>
    <n v="440"/>
    <x v="3"/>
    <s v="2023-05-04"/>
    <x v="1"/>
    <x v="1"/>
    <n v="440"/>
    <n v="26"/>
    <s v="Pending"/>
    <s v="Medium"/>
    <s v="Normal Order"/>
    <s v="Lifestyle-Kolkata"/>
    <s v="Lif"/>
    <m/>
  </r>
  <r>
    <x v="1144"/>
    <s v="LED Bulb"/>
    <x v="2"/>
    <n v="3281"/>
    <x v="3"/>
    <s v="2023-02-08"/>
    <x v="3"/>
    <x v="3"/>
    <n v="3281"/>
    <n v="86"/>
    <s v="Delivered"/>
    <s v="Medium"/>
    <s v="Normal Order"/>
    <s v="Home-Mumbai"/>
    <s v="Hom"/>
    <m/>
  </r>
  <r>
    <x v="1145"/>
    <s v="Bluetooth Speaker"/>
    <x v="4"/>
    <n v="4994"/>
    <x v="0"/>
    <s v="2023-06-06"/>
    <x v="3"/>
    <x v="0"/>
    <n v="19976"/>
    <n v="30"/>
    <s v="Pending"/>
    <s v="Medium"/>
    <s v="Bulk Order"/>
    <s v="Electronics-Mumbai"/>
    <s v="Ele"/>
    <m/>
  </r>
  <r>
    <x v="1146"/>
    <s v="Water Bottle"/>
    <x v="2"/>
    <n v="1786"/>
    <x v="1"/>
    <s v="2023-06-08"/>
    <x v="2"/>
    <x v="1"/>
    <n v="5358"/>
    <n v="64"/>
    <s v="Delivered"/>
    <s v="Medium"/>
    <s v="Bulk Order"/>
    <s v="Home-Hyderabad"/>
    <s v="Hom"/>
    <m/>
  </r>
  <r>
    <x v="1147"/>
    <s v="USB Cable"/>
    <x v="1"/>
    <n v="2100"/>
    <x v="1"/>
    <s v="2023-04-29"/>
    <x v="1"/>
    <x v="2"/>
    <n v="6300"/>
    <n v="37"/>
    <s v="Delivered"/>
    <s v="Medium"/>
    <s v="Bulk Order"/>
    <s v="Fitness-Kolkata"/>
    <s v="Fit"/>
    <m/>
  </r>
  <r>
    <x v="1148"/>
    <s v="Desk Organizer"/>
    <x v="2"/>
    <n v="1124"/>
    <x v="2"/>
    <s v="2023-02-01"/>
    <x v="2"/>
    <x v="2"/>
    <n v="2248"/>
    <n v="26"/>
    <s v="Delivered"/>
    <s v="Medium"/>
    <s v="Normal Order"/>
    <s v="Home-Hyderabad"/>
    <s v="Hom"/>
    <m/>
  </r>
  <r>
    <x v="1149"/>
    <s v="LED Bulb"/>
    <x v="0"/>
    <n v="2578"/>
    <x v="1"/>
    <s v="2023-02-23"/>
    <x v="2"/>
    <x v="0"/>
    <n v="7734"/>
    <n v="96"/>
    <s v="Delivered"/>
    <s v="High"/>
    <s v="Bulk Order"/>
    <s v="Lifestyle-Hyderabad"/>
    <s v="Lif"/>
    <m/>
  </r>
  <r>
    <x v="1150"/>
    <s v="Wireless Earbuds"/>
    <x v="1"/>
    <n v="1674"/>
    <x v="2"/>
    <s v="2023-05-22"/>
    <x v="5"/>
    <x v="0"/>
    <n v="3348"/>
    <n v="23"/>
    <s v="Delivered"/>
    <s v="High"/>
    <s v="Normal Order"/>
    <s v="Fitness-Bangalore"/>
    <s v="Fit"/>
    <m/>
  </r>
  <r>
    <x v="1151"/>
    <s v="Laptop Stand"/>
    <x v="4"/>
    <n v="836"/>
    <x v="3"/>
    <s v="2023-06-26"/>
    <x v="5"/>
    <x v="2"/>
    <n v="836"/>
    <n v="21"/>
    <s v="Delivered"/>
    <s v="Medium"/>
    <s v="Normal Order"/>
    <s v="Electronics-Bangalore"/>
    <s v="Ele"/>
    <m/>
  </r>
  <r>
    <x v="1152"/>
    <s v="Coffee Mug"/>
    <x v="2"/>
    <n v="2354"/>
    <x v="0"/>
    <s v="2023-02-16"/>
    <x v="5"/>
    <x v="2"/>
    <n v="9416"/>
    <n v="99"/>
    <s v="Pending"/>
    <s v="High"/>
    <s v="Bulk Order"/>
    <s v="Home-Bangalore"/>
    <s v="Hom"/>
    <m/>
  </r>
  <r>
    <x v="1153"/>
    <s v="Desk Organizer"/>
    <x v="0"/>
    <n v="174"/>
    <x v="3"/>
    <s v="2023-10-20"/>
    <x v="0"/>
    <x v="1"/>
    <n v="174"/>
    <n v="70"/>
    <s v="Delivered"/>
    <s v="Medium"/>
    <s v="Normal Order"/>
    <s v="Lifestyle-Chennai"/>
    <s v="Lif"/>
    <m/>
  </r>
  <r>
    <x v="1154"/>
    <s v="Wireless Earbuds"/>
    <x v="1"/>
    <n v="3382"/>
    <x v="1"/>
    <s v="2023-07-23"/>
    <x v="5"/>
    <x v="0"/>
    <n v="10146"/>
    <n v="39"/>
    <s v="Delivered"/>
    <s v="Low"/>
    <s v="Bulk Order"/>
    <s v="Fitness-Bangalore"/>
    <s v="Fit"/>
    <m/>
  </r>
  <r>
    <x v="1155"/>
    <s v="Smartphone Case"/>
    <x v="1"/>
    <n v="702"/>
    <x v="0"/>
    <s v="2023-12-10"/>
    <x v="3"/>
    <x v="2"/>
    <n v="2808"/>
    <n v="27"/>
    <s v="Pending"/>
    <s v="Medium"/>
    <s v="Bulk Order"/>
    <s v="Fitness-Mumbai"/>
    <s v="Fit"/>
    <m/>
  </r>
  <r>
    <x v="1156"/>
    <s v="Backpack"/>
    <x v="4"/>
    <n v="2911"/>
    <x v="2"/>
    <s v="2023-11-22"/>
    <x v="0"/>
    <x v="0"/>
    <n v="5822"/>
    <n v="42"/>
    <s v="Delivered"/>
    <s v="High"/>
    <s v="Normal Order"/>
    <s v="Electronics-Chennai"/>
    <s v="Ele"/>
    <m/>
  </r>
  <r>
    <x v="1157"/>
    <s v="Desk Organizer"/>
    <x v="3"/>
    <n v="1270"/>
    <x v="0"/>
    <s v="2023-10-15"/>
    <x v="0"/>
    <x v="3"/>
    <n v="5080"/>
    <n v="69"/>
    <s v="Delivered"/>
    <s v="High"/>
    <s v="Bulk Order"/>
    <s v="Accessories-Chennai"/>
    <s v="Acc"/>
    <m/>
  </r>
  <r>
    <x v="1158"/>
    <s v="Wireless Earbuds"/>
    <x v="4"/>
    <n v="577"/>
    <x v="3"/>
    <s v="2023-07-31"/>
    <x v="1"/>
    <x v="1"/>
    <n v="577"/>
    <n v="76"/>
    <s v="Cancelled"/>
    <s v="High"/>
    <s v="Normal Order"/>
    <s v="Electronics-Kolkata"/>
    <s v="Ele"/>
    <m/>
  </r>
  <r>
    <x v="1159"/>
    <s v="Smartphone Case"/>
    <x v="1"/>
    <n v="3473"/>
    <x v="0"/>
    <s v="2023-11-29"/>
    <x v="1"/>
    <x v="0"/>
    <n v="13892"/>
    <n v="28"/>
    <s v="Cancelled"/>
    <s v="Medium"/>
    <s v="Bulk Order"/>
    <s v="Fitness-Kolkata"/>
    <s v="Fit"/>
    <m/>
  </r>
  <r>
    <x v="1160"/>
    <s v="LED Bulb"/>
    <x v="2"/>
    <n v="1143"/>
    <x v="0"/>
    <s v="2023-10-14"/>
    <x v="2"/>
    <x v="3"/>
    <n v="4572"/>
    <n v="98"/>
    <s v="Pending"/>
    <s v="Low"/>
    <s v="Bulk Order"/>
    <s v="Home-Hyderabad"/>
    <s v="Hom"/>
    <m/>
  </r>
  <r>
    <x v="1161"/>
    <s v="Fitness Band"/>
    <x v="3"/>
    <n v="4540"/>
    <x v="0"/>
    <s v="2023-03-19"/>
    <x v="1"/>
    <x v="1"/>
    <n v="18160"/>
    <n v="76"/>
    <s v="Delivered"/>
    <s v="Low"/>
    <s v="Bulk Order"/>
    <s v="Accessories-Kolkata"/>
    <s v="Acc"/>
    <m/>
  </r>
  <r>
    <x v="1162"/>
    <s v="USB Cable"/>
    <x v="0"/>
    <n v="2998"/>
    <x v="1"/>
    <s v="2023-07-04"/>
    <x v="1"/>
    <x v="2"/>
    <n v="8994"/>
    <n v="92"/>
    <s v="Delivered"/>
    <s v="Medium"/>
    <s v="Bulk Order"/>
    <s v="Lifestyle-Kolkata"/>
    <s v="Lif"/>
    <m/>
  </r>
  <r>
    <x v="1163"/>
    <s v="Coffee Mug"/>
    <x v="2"/>
    <n v="2749"/>
    <x v="0"/>
    <s v="2023-02-19"/>
    <x v="2"/>
    <x v="1"/>
    <n v="10996"/>
    <n v="51"/>
    <s v="Delivered"/>
    <s v="Medium"/>
    <s v="Bulk Order"/>
    <s v="Home-Hyderabad"/>
    <s v="Hom"/>
    <m/>
  </r>
  <r>
    <x v="1164"/>
    <s v="Wireless Earbuds"/>
    <x v="4"/>
    <n v="599"/>
    <x v="3"/>
    <s v="2023-05-12"/>
    <x v="1"/>
    <x v="3"/>
    <n v="599"/>
    <n v="22"/>
    <s v="Delivered"/>
    <s v="Medium"/>
    <s v="Normal Order"/>
    <s v="Electronics-Kolkata"/>
    <s v="Ele"/>
    <m/>
  </r>
  <r>
    <x v="1165"/>
    <s v="Wireless Earbuds"/>
    <x v="2"/>
    <n v="3422"/>
    <x v="0"/>
    <s v="2023-04-27"/>
    <x v="2"/>
    <x v="3"/>
    <n v="13688"/>
    <n v="59"/>
    <s v="Delivered"/>
    <s v="High"/>
    <s v="Bulk Order"/>
    <s v="Home-Hyderabad"/>
    <s v="Hom"/>
    <m/>
  </r>
  <r>
    <x v="1166"/>
    <s v="Smartphone Case"/>
    <x v="4"/>
    <n v="3679"/>
    <x v="3"/>
    <s v="2023-05-27"/>
    <x v="3"/>
    <x v="0"/>
    <n v="3679"/>
    <n v="99"/>
    <s v="Pending"/>
    <s v="High"/>
    <s v="Normal Order"/>
    <s v="Electronics-Mumbai"/>
    <s v="Ele"/>
    <m/>
  </r>
  <r>
    <x v="1167"/>
    <s v="Bluetooth Speaker"/>
    <x v="3"/>
    <n v="1965"/>
    <x v="0"/>
    <s v="2023-02-04"/>
    <x v="4"/>
    <x v="1"/>
    <n v="7860"/>
    <n v="91"/>
    <s v="Delivered"/>
    <s v="High"/>
    <s v="Bulk Order"/>
    <s v="Accessories-Delhi"/>
    <s v="Acc"/>
    <m/>
  </r>
  <r>
    <x v="1168"/>
    <s v="USB Cable"/>
    <x v="1"/>
    <n v="664"/>
    <x v="0"/>
    <s v="2023-01-16"/>
    <x v="5"/>
    <x v="1"/>
    <n v="2656"/>
    <n v="21"/>
    <s v="Delivered"/>
    <s v="Medium"/>
    <s v="Bulk Order"/>
    <s v="Fitness-Bangalore"/>
    <s v="Fit"/>
    <m/>
  </r>
  <r>
    <x v="1169"/>
    <s v="Backpack"/>
    <x v="3"/>
    <n v="3320"/>
    <x v="1"/>
    <s v="2023-07-18"/>
    <x v="1"/>
    <x v="1"/>
    <n v="9960"/>
    <n v="49"/>
    <s v="Delivered"/>
    <s v="High"/>
    <s v="Bulk Order"/>
    <s v="Accessories-Kolkata"/>
    <s v="Acc"/>
    <m/>
  </r>
  <r>
    <x v="1170"/>
    <s v="Smartphone Case"/>
    <x v="1"/>
    <n v="4502"/>
    <x v="2"/>
    <s v="2023-07-01"/>
    <x v="2"/>
    <x v="3"/>
    <n v="9004"/>
    <n v="25"/>
    <s v="Pending"/>
    <s v="Medium"/>
    <s v="Normal Order"/>
    <s v="Fitness-Hyderabad"/>
    <s v="Fit"/>
    <m/>
  </r>
  <r>
    <x v="1171"/>
    <s v="LED Bulb"/>
    <x v="0"/>
    <n v="4924"/>
    <x v="1"/>
    <s v="2023-11-07"/>
    <x v="2"/>
    <x v="2"/>
    <n v="14772"/>
    <n v="27"/>
    <s v="Pending"/>
    <s v="High"/>
    <s v="Bulk Order"/>
    <s v="Lifestyle-Hyderabad"/>
    <s v="Lif"/>
    <m/>
  </r>
  <r>
    <x v="1172"/>
    <s v="Backpack"/>
    <x v="4"/>
    <n v="4024"/>
    <x v="2"/>
    <s v="2023-05-04"/>
    <x v="4"/>
    <x v="3"/>
    <n v="8048"/>
    <n v="67"/>
    <s v="Delivered"/>
    <s v="High"/>
    <s v="Normal Order"/>
    <s v="Electronics-Delhi"/>
    <s v="Ele"/>
    <m/>
  </r>
  <r>
    <x v="1173"/>
    <s v="LED Bulb"/>
    <x v="2"/>
    <n v="2822"/>
    <x v="3"/>
    <s v="2023-12-14"/>
    <x v="3"/>
    <x v="1"/>
    <n v="2822"/>
    <n v="44"/>
    <s v="Delivered"/>
    <s v="Medium"/>
    <s v="Normal Order"/>
    <s v="Home-Mumbai"/>
    <s v="Hom"/>
    <m/>
  </r>
  <r>
    <x v="1174"/>
    <s v="Water Bottle"/>
    <x v="0"/>
    <n v="3708"/>
    <x v="1"/>
    <s v="2023-09-23"/>
    <x v="4"/>
    <x v="0"/>
    <n v="11124"/>
    <n v="39"/>
    <s v="Pending"/>
    <s v="High"/>
    <s v="Bulk Order"/>
    <s v="Lifestyle-Delhi"/>
    <s v="Lif"/>
    <m/>
  </r>
  <r>
    <x v="1175"/>
    <s v="Power Bank"/>
    <x v="3"/>
    <n v="2788"/>
    <x v="1"/>
    <s v="2023-02-17"/>
    <x v="2"/>
    <x v="3"/>
    <n v="8364"/>
    <n v="75"/>
    <s v="Delivered"/>
    <s v="Low"/>
    <s v="Bulk Order"/>
    <s v="Accessories-Hyderabad"/>
    <s v="Acc"/>
    <m/>
  </r>
  <r>
    <x v="1176"/>
    <s v="Power Bank"/>
    <x v="2"/>
    <n v="2616"/>
    <x v="3"/>
    <s v="2023-09-03"/>
    <x v="4"/>
    <x v="2"/>
    <n v="2616"/>
    <n v="34"/>
    <s v="Pending"/>
    <s v="Medium"/>
    <s v="Normal Order"/>
    <s v="Home-Delhi"/>
    <s v="Hom"/>
    <m/>
  </r>
  <r>
    <x v="1177"/>
    <s v="Water Bottle"/>
    <x v="3"/>
    <n v="4661"/>
    <x v="3"/>
    <s v="2023-05-21"/>
    <x v="5"/>
    <x v="0"/>
    <n v="4661"/>
    <n v="60"/>
    <s v="Delivered"/>
    <s v="High"/>
    <s v="Normal Order"/>
    <s v="Accessories-Bangalore"/>
    <s v="Acc"/>
    <m/>
  </r>
  <r>
    <x v="1178"/>
    <s v="USB Cable"/>
    <x v="4"/>
    <n v="755"/>
    <x v="2"/>
    <s v="2023-07-21"/>
    <x v="1"/>
    <x v="2"/>
    <n v="1510"/>
    <n v="95"/>
    <s v="Delivered"/>
    <s v="Medium"/>
    <s v="Normal Order"/>
    <s v="Electronics-Kolkata"/>
    <s v="Ele"/>
    <m/>
  </r>
  <r>
    <x v="1179"/>
    <s v="USB Cable"/>
    <x v="2"/>
    <n v="1227"/>
    <x v="1"/>
    <s v="2023-09-28"/>
    <x v="3"/>
    <x v="0"/>
    <n v="3681"/>
    <n v="44"/>
    <s v="Delivered"/>
    <s v="Medium"/>
    <s v="Bulk Order"/>
    <s v="Home-Mumbai"/>
    <s v="Hom"/>
    <m/>
  </r>
  <r>
    <x v="1180"/>
    <s v="Wireless Earbuds"/>
    <x v="2"/>
    <n v="3775"/>
    <x v="0"/>
    <s v="2023-01-20"/>
    <x v="0"/>
    <x v="1"/>
    <n v="15100"/>
    <n v="76"/>
    <s v="Delivered"/>
    <s v="Medium"/>
    <s v="Bulk Order"/>
    <s v="Home-Chennai"/>
    <s v="Hom"/>
    <m/>
  </r>
  <r>
    <x v="1181"/>
    <s v="Coffee Mug"/>
    <x v="2"/>
    <n v="443"/>
    <x v="0"/>
    <s v="2023-11-24"/>
    <x v="5"/>
    <x v="3"/>
    <n v="1772"/>
    <n v="24"/>
    <s v="Delivered"/>
    <s v="Low"/>
    <s v="Bulk Order"/>
    <s v="Home-Bangalore"/>
    <s v="Hom"/>
    <m/>
  </r>
  <r>
    <x v="1182"/>
    <s v="Laptop Stand"/>
    <x v="2"/>
    <n v="288"/>
    <x v="2"/>
    <s v="2023-08-15"/>
    <x v="4"/>
    <x v="3"/>
    <n v="576"/>
    <n v="27"/>
    <s v="Pending"/>
    <s v="High"/>
    <s v="Normal Order"/>
    <s v="Home-Delhi"/>
    <s v="Hom"/>
    <m/>
  </r>
  <r>
    <x v="1183"/>
    <s v="Power Bank"/>
    <x v="4"/>
    <n v="1460"/>
    <x v="1"/>
    <s v="2023-09-29"/>
    <x v="4"/>
    <x v="2"/>
    <n v="4380"/>
    <n v="47"/>
    <s v="Delivered"/>
    <s v="Medium"/>
    <s v="Bulk Order"/>
    <s v="Electronics-Delhi"/>
    <s v="Ele"/>
    <m/>
  </r>
  <r>
    <x v="1184"/>
    <s v="Bluetooth Speaker"/>
    <x v="4"/>
    <n v="4629"/>
    <x v="2"/>
    <s v="2023-11-25"/>
    <x v="2"/>
    <x v="0"/>
    <n v="9258"/>
    <n v="87"/>
    <s v="Delivered"/>
    <s v="Medium"/>
    <s v="Normal Order"/>
    <s v="Electronics-Hyderabad"/>
    <s v="Ele"/>
    <m/>
  </r>
  <r>
    <x v="1185"/>
    <s v="Bluetooth Speaker"/>
    <x v="1"/>
    <n v="2526"/>
    <x v="0"/>
    <s v="2023-02-02"/>
    <x v="3"/>
    <x v="0"/>
    <n v="10104"/>
    <n v="96"/>
    <s v="Pending"/>
    <s v="Low"/>
    <s v="Bulk Order"/>
    <s v="Fitness-Mumbai"/>
    <s v="Fit"/>
    <m/>
  </r>
  <r>
    <x v="1186"/>
    <s v="Bluetooth Speaker"/>
    <x v="1"/>
    <n v="549"/>
    <x v="0"/>
    <s v="2023-03-07"/>
    <x v="2"/>
    <x v="3"/>
    <n v="2196"/>
    <n v="99"/>
    <s v="Delivered"/>
    <s v="Medium"/>
    <s v="Bulk Order"/>
    <s v="Fitness-Hyderabad"/>
    <s v="Fit"/>
    <m/>
  </r>
  <r>
    <x v="1187"/>
    <s v="Bluetooth Speaker"/>
    <x v="1"/>
    <n v="1469"/>
    <x v="1"/>
    <s v="2023-08-01"/>
    <x v="4"/>
    <x v="1"/>
    <n v="4407"/>
    <n v="89"/>
    <s v="Cancelled"/>
    <s v="Medium"/>
    <s v="Bulk Order"/>
    <s v="Fitness-Delhi"/>
    <s v="Fit"/>
    <m/>
  </r>
  <r>
    <x v="1188"/>
    <s v="Power Bank"/>
    <x v="4"/>
    <n v="4002"/>
    <x v="1"/>
    <s v="2023-03-05"/>
    <x v="4"/>
    <x v="0"/>
    <n v="12006"/>
    <n v="56"/>
    <s v="Delivered"/>
    <s v="Medium"/>
    <s v="Bulk Order"/>
    <s v="Electronics-Delhi"/>
    <s v="Ele"/>
    <m/>
  </r>
  <r>
    <x v="1189"/>
    <s v="Wireless Earbuds"/>
    <x v="2"/>
    <n v="3875"/>
    <x v="2"/>
    <s v="2023-06-04"/>
    <x v="0"/>
    <x v="3"/>
    <n v="7750"/>
    <n v="58"/>
    <s v="Cancelled"/>
    <s v="Low"/>
    <s v="Normal Order"/>
    <s v="Home-Chennai"/>
    <s v="Hom"/>
    <m/>
  </r>
  <r>
    <x v="1190"/>
    <s v="Power Bank"/>
    <x v="4"/>
    <n v="1831"/>
    <x v="1"/>
    <s v="2023-05-29"/>
    <x v="0"/>
    <x v="2"/>
    <n v="5493"/>
    <n v="99"/>
    <s v="Pending"/>
    <s v="Medium"/>
    <s v="Bulk Order"/>
    <s v="Electronics-Chennai"/>
    <s v="Ele"/>
    <m/>
  </r>
  <r>
    <x v="1191"/>
    <s v="LED Bulb"/>
    <x v="1"/>
    <n v="2770"/>
    <x v="2"/>
    <s v="2023-08-29"/>
    <x v="0"/>
    <x v="0"/>
    <n v="5540"/>
    <n v="29"/>
    <s v="Delivered"/>
    <s v="Low"/>
    <s v="Normal Order"/>
    <s v="Fitness-Chennai"/>
    <s v="Fit"/>
    <m/>
  </r>
  <r>
    <x v="1192"/>
    <s v="Wireless Earbuds"/>
    <x v="2"/>
    <n v="1098"/>
    <x v="1"/>
    <s v="2023-06-15"/>
    <x v="5"/>
    <x v="3"/>
    <n v="3294"/>
    <n v="56"/>
    <s v="Delivered"/>
    <s v="Low"/>
    <s v="Bulk Order"/>
    <s v="Home-Bangalore"/>
    <s v="Hom"/>
    <m/>
  </r>
  <r>
    <x v="1193"/>
    <s v="Laptop Stand"/>
    <x v="0"/>
    <n v="2275"/>
    <x v="2"/>
    <s v="2023-07-05"/>
    <x v="1"/>
    <x v="3"/>
    <n v="4550"/>
    <n v="64"/>
    <s v="Delivered"/>
    <s v="Medium"/>
    <s v="Normal Order"/>
    <s v="Lifestyle-Kolkata"/>
    <s v="Lif"/>
    <m/>
  </r>
  <r>
    <x v="1194"/>
    <s v="Smartphone Case"/>
    <x v="0"/>
    <n v="1663"/>
    <x v="2"/>
    <s v="2023-07-16"/>
    <x v="2"/>
    <x v="1"/>
    <n v="3326"/>
    <n v="61"/>
    <s v="Delivered"/>
    <s v="Medium"/>
    <s v="Normal Order"/>
    <s v="Lifestyle-Hyderabad"/>
    <s v="Lif"/>
    <m/>
  </r>
  <r>
    <x v="1195"/>
    <s v="Bluetooth Speaker"/>
    <x v="0"/>
    <n v="601"/>
    <x v="1"/>
    <s v="2023-03-30"/>
    <x v="2"/>
    <x v="1"/>
    <n v="1803"/>
    <n v="36"/>
    <s v="Delivered"/>
    <s v="Medium"/>
    <s v="Bulk Order"/>
    <s v="Lifestyle-Hyderabad"/>
    <s v="Lif"/>
    <m/>
  </r>
  <r>
    <x v="1196"/>
    <s v="Bluetooth Speaker"/>
    <x v="3"/>
    <n v="259"/>
    <x v="3"/>
    <s v="2023-06-19"/>
    <x v="0"/>
    <x v="3"/>
    <n v="259"/>
    <n v="21"/>
    <s v="Pending"/>
    <s v="Medium"/>
    <s v="Normal Order"/>
    <s v="Accessories-Chennai"/>
    <s v="Acc"/>
    <m/>
  </r>
  <r>
    <x v="1197"/>
    <s v="Bluetooth Speaker"/>
    <x v="1"/>
    <n v="2870"/>
    <x v="2"/>
    <s v="2023-03-01"/>
    <x v="4"/>
    <x v="3"/>
    <n v="5740"/>
    <n v="74"/>
    <s v="Delivered"/>
    <s v="Low"/>
    <s v="Normal Order"/>
    <s v="Fitness-Delhi"/>
    <s v="Fit"/>
    <m/>
  </r>
  <r>
    <x v="1198"/>
    <s v="USB Cable"/>
    <x v="2"/>
    <n v="1675"/>
    <x v="0"/>
    <s v="2023-01-28"/>
    <x v="5"/>
    <x v="1"/>
    <n v="6700"/>
    <n v="99"/>
    <s v="Cancelled"/>
    <s v="High"/>
    <s v="Bulk Order"/>
    <s v="Home-Bangalore"/>
    <s v="Hom"/>
    <m/>
  </r>
  <r>
    <x v="1199"/>
    <s v="LED Bulb"/>
    <x v="3"/>
    <n v="4645"/>
    <x v="1"/>
    <s v="2023-01-25"/>
    <x v="2"/>
    <x v="3"/>
    <n v="13935"/>
    <n v="91"/>
    <s v="Delivered"/>
    <s v="High"/>
    <s v="Bulk Order"/>
    <s v="Accessories-Hyderabad"/>
    <s v="Acc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995BB2-8294-4B67-BD0D-C80CFE5225C0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G3:H8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name="payment method"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08BD3-2C1F-46EB-8A33-55AE076BC594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D3:E10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 level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69BD2-414D-4487-94D8-F1AAC18E884D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category">
  <location ref="A3:B9" firstHeaderRow="1" firstDataRow="1" firstDataCol="1"/>
  <pivotFields count="16">
    <pivotField showAll="0"/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7AE97-77F4-4756-AED8-7957C83A4743}" name="Table1" displayName="Table1" ref="A1:P1201" totalsRowShown="0" headerRowDxfId="18" headerRowBorderDxfId="16" tableBorderDxfId="17">
  <autoFilter ref="A1:P1201" xr:uid="{C5E7AE97-77F4-4756-AED8-7957C83A4743}"/>
  <tableColumns count="16">
    <tableColumn id="1" xr3:uid="{CD101795-B983-41B5-9428-F8B381B5A11B}" name="Order_ID"/>
    <tableColumn id="2" xr3:uid="{6B15E3B4-6304-4850-8722-0574A0C38056}" name="Product_Name"/>
    <tableColumn id="3" xr3:uid="{1582EF19-EF02-4CA1-8B9A-17FDF06CB61C}" name="Category"/>
    <tableColumn id="4" xr3:uid="{7E9DE9CC-3CF9-4C78-989A-6C341501D72A}" name="Price"/>
    <tableColumn id="5" xr3:uid="{1CA5C548-011D-4940-8D87-3F914884ADDD}" name="Quantity"/>
    <tableColumn id="6" xr3:uid="{7D4D57E8-B69B-4A19-B2F1-8E5B921BC9D2}" name="Order_Date"/>
    <tableColumn id="7" xr3:uid="{BCB58C09-5640-4045-9488-F2BF72CC03AD}" name="City"/>
    <tableColumn id="8" xr3:uid="{A6108FCC-DA88-455C-9ADE-858584C09CD3}" name="Payment_Method"/>
    <tableColumn id="9" xr3:uid="{385F48A1-FCBB-44D9-ABD6-F722CF312013}" name="Total_Amount"/>
    <tableColumn id="10" xr3:uid="{C8C969CB-0716-4ADD-8DAA-9469DF5A4D8C}" name="Shipping_Fee"/>
    <tableColumn id="11" xr3:uid="{7FAD9AF9-EDFD-49FC-AD6A-77D14FDB8496}" name="Delivery_Status"/>
    <tableColumn id="12" xr3:uid="{66C299CF-7B45-4B58-B226-DE68E4307971}" name="Priority_Order"/>
    <tableColumn id="13" xr3:uid="{0F2920DB-2FD4-4D64-87E3-7A448F933F0E}" name="order level" dataDxfId="15">
      <calculatedColumnFormula>IF(Table1[[#This Row],[Quantity]]&gt;2,"Bulk Order","Normal Order")</calculatedColumnFormula>
    </tableColumn>
    <tableColumn id="14" xr3:uid="{E5FE22F5-882F-4101-9D8E-E19A6ADFFAD2}" name="Concat" dataDxfId="14">
      <calculatedColumnFormula>_xlfn.CONCAT(Table1[[#This Row],[Category]],"-",Table1[[#This Row],[City]])</calculatedColumnFormula>
    </tableColumn>
    <tableColumn id="15" xr3:uid="{93EA04C1-1DCA-42F5-A7FF-9281DCF95FD1}" name="left pf cat" dataDxfId="13">
      <calculatedColumnFormula>LEFT(Table1[[#This Row],[Category]],3)</calculatedColumnFormula>
    </tableColumn>
    <tableColumn id="16" xr3:uid="{D874BA90-D03E-465E-B4F1-443A73330713}" name="Column1" dataDxfId="1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9263F6-F656-4707-8B53-8C415A476305}" name="Table3" displayName="Table3" ref="S3:T9" totalsRowShown="0">
  <autoFilter ref="S3:T9" xr:uid="{129263F6-F656-4707-8B53-8C415A476305}"/>
  <tableColumns count="2">
    <tableColumn id="1" xr3:uid="{5278855B-4BD9-40F0-B455-268BE0393564}" name="Column1"/>
    <tableColumn id="2" xr3:uid="{C7E0C7AE-B6E5-426E-9E6C-02C6A1659F29}" name="Column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6750-43A0-43E5-9C7F-43DE3C3BB04A}">
  <dimension ref="A3:H10"/>
  <sheetViews>
    <sheetView tabSelected="1" workbookViewId="0">
      <selection activeCell="M16" sqref="M16"/>
    </sheetView>
  </sheetViews>
  <sheetFormatPr defaultRowHeight="14.5" x14ac:dyDescent="0.35"/>
  <cols>
    <col min="1" max="1" width="12.36328125" bestFit="1" customWidth="1"/>
    <col min="2" max="2" width="19.36328125" bestFit="1" customWidth="1"/>
    <col min="4" max="4" width="12.36328125" bestFit="1" customWidth="1"/>
    <col min="5" max="5" width="17.6328125" bestFit="1" customWidth="1"/>
    <col min="7" max="7" width="17.7265625" bestFit="1" customWidth="1"/>
    <col min="8" max="8" width="21.81640625" bestFit="1" customWidth="1"/>
    <col min="9" max="9" width="15.26953125" bestFit="1" customWidth="1"/>
    <col min="10" max="10" width="7.6328125" bestFit="1" customWidth="1"/>
    <col min="11" max="11" width="5.08984375" bestFit="1" customWidth="1"/>
    <col min="12" max="12" width="10" bestFit="1" customWidth="1"/>
    <col min="13" max="13" width="7.1796875" bestFit="1" customWidth="1"/>
    <col min="14" max="14" width="7.81640625" bestFit="1" customWidth="1"/>
    <col min="15" max="15" width="10.7265625" bestFit="1" customWidth="1"/>
  </cols>
  <sheetData>
    <row r="3" spans="1:8" x14ac:dyDescent="0.35">
      <c r="A3" s="4" t="s">
        <v>1617</v>
      </c>
      <c r="B3" t="s">
        <v>1612</v>
      </c>
      <c r="D3" s="4" t="s">
        <v>1616</v>
      </c>
      <c r="E3" t="s">
        <v>1613</v>
      </c>
      <c r="G3" s="4" t="s">
        <v>1615</v>
      </c>
      <c r="H3" t="s">
        <v>1614</v>
      </c>
    </row>
    <row r="4" spans="1:8" x14ac:dyDescent="0.35">
      <c r="A4" s="5" t="s">
        <v>1227</v>
      </c>
      <c r="B4" s="2">
        <v>1691647</v>
      </c>
      <c r="D4" s="5" t="s">
        <v>1589</v>
      </c>
      <c r="E4" s="2">
        <v>189</v>
      </c>
      <c r="G4" s="5" t="s">
        <v>1592</v>
      </c>
      <c r="H4" s="2">
        <v>300</v>
      </c>
    </row>
    <row r="5" spans="1:8" x14ac:dyDescent="0.35">
      <c r="A5" s="5" t="s">
        <v>1228</v>
      </c>
      <c r="B5" s="2">
        <v>1508697</v>
      </c>
      <c r="D5" s="5" t="s">
        <v>1584</v>
      </c>
      <c r="E5" s="2">
        <v>202</v>
      </c>
      <c r="G5" s="5" t="s">
        <v>1590</v>
      </c>
      <c r="H5" s="2">
        <v>300</v>
      </c>
    </row>
    <row r="6" spans="1:8" x14ac:dyDescent="0.35">
      <c r="A6" s="5" t="s">
        <v>1225</v>
      </c>
      <c r="B6" s="2">
        <v>1822667</v>
      </c>
      <c r="D6" s="5" t="s">
        <v>1588</v>
      </c>
      <c r="E6" s="2">
        <v>231</v>
      </c>
      <c r="G6" s="5" t="s">
        <v>1593</v>
      </c>
      <c r="H6" s="2">
        <v>323</v>
      </c>
    </row>
    <row r="7" spans="1:8" x14ac:dyDescent="0.35">
      <c r="A7" s="5" t="s">
        <v>1226</v>
      </c>
      <c r="B7" s="2">
        <v>1603183</v>
      </c>
      <c r="D7" s="5" t="s">
        <v>1586</v>
      </c>
      <c r="E7" s="2">
        <v>199</v>
      </c>
      <c r="G7" s="5" t="s">
        <v>1591</v>
      </c>
      <c r="H7" s="2">
        <v>277</v>
      </c>
    </row>
    <row r="8" spans="1:8" x14ac:dyDescent="0.35">
      <c r="A8" s="5" t="s">
        <v>1224</v>
      </c>
      <c r="B8" s="2">
        <v>1464775</v>
      </c>
      <c r="D8" s="5" t="s">
        <v>1585</v>
      </c>
      <c r="E8" s="2">
        <v>201</v>
      </c>
      <c r="G8" s="5" t="s">
        <v>1611</v>
      </c>
      <c r="H8" s="2">
        <v>1200</v>
      </c>
    </row>
    <row r="9" spans="1:8" x14ac:dyDescent="0.35">
      <c r="A9" s="5" t="s">
        <v>1611</v>
      </c>
      <c r="B9" s="2">
        <v>8090969</v>
      </c>
      <c r="D9" s="5" t="s">
        <v>1587</v>
      </c>
      <c r="E9" s="2">
        <v>178</v>
      </c>
    </row>
    <row r="10" spans="1:8" x14ac:dyDescent="0.35">
      <c r="D10" s="5" t="s">
        <v>1611</v>
      </c>
      <c r="E10" s="2">
        <v>1200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1"/>
  <sheetViews>
    <sheetView topLeftCell="A2" zoomScale="41" zoomScaleNormal="34" workbookViewId="0">
      <selection activeCell="K85" sqref="K85"/>
    </sheetView>
  </sheetViews>
  <sheetFormatPr defaultRowHeight="14.5" x14ac:dyDescent="0.35"/>
  <cols>
    <col min="1" max="1" width="10.453125" customWidth="1"/>
    <col min="2" max="2" width="15.1796875" customWidth="1"/>
    <col min="3" max="3" width="10.26953125" customWidth="1"/>
    <col min="4" max="4" width="12.08984375" bestFit="1" customWidth="1"/>
    <col min="5" max="5" width="15.26953125" bestFit="1" customWidth="1"/>
    <col min="6" max="6" width="17.7265625" bestFit="1" customWidth="1"/>
    <col min="7" max="7" width="11.08984375" bestFit="1" customWidth="1"/>
    <col min="8" max="8" width="23.54296875" bestFit="1" customWidth="1"/>
    <col min="9" max="9" width="20.08984375" bestFit="1" customWidth="1"/>
    <col min="10" max="10" width="19.54296875" bestFit="1" customWidth="1"/>
    <col min="11" max="11" width="21.26953125" bestFit="1" customWidth="1"/>
    <col min="12" max="12" width="20.1796875" bestFit="1" customWidth="1"/>
    <col min="13" max="13" width="15.36328125" bestFit="1" customWidth="1"/>
    <col min="14" max="14" width="21.1796875" bestFit="1" customWidth="1"/>
    <col min="19" max="19" width="12.6328125" bestFit="1" customWidth="1"/>
    <col min="20" max="20" width="10.45312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1602</v>
      </c>
      <c r="N1" s="1" t="s">
        <v>1603</v>
      </c>
      <c r="O1" s="1" t="s">
        <v>1604</v>
      </c>
      <c r="P1" s="1" t="s">
        <v>1600</v>
      </c>
    </row>
    <row r="2" spans="1:20" x14ac:dyDescent="0.35">
      <c r="A2" t="s">
        <v>12</v>
      </c>
      <c r="B2" t="s">
        <v>1212</v>
      </c>
      <c r="C2" t="s">
        <v>1224</v>
      </c>
      <c r="D2">
        <v>340</v>
      </c>
      <c r="E2">
        <v>4</v>
      </c>
      <c r="F2" t="s">
        <v>1229</v>
      </c>
      <c r="G2" t="s">
        <v>1584</v>
      </c>
      <c r="H2" t="s">
        <v>1590</v>
      </c>
      <c r="I2">
        <v>1360</v>
      </c>
      <c r="J2">
        <v>92</v>
      </c>
      <c r="K2" t="s">
        <v>1594</v>
      </c>
      <c r="L2" t="s">
        <v>1597</v>
      </c>
      <c r="M2" t="str">
        <f>IF(Table1[[#This Row],[Quantity]]&gt;2,"Bulk Order","Normal Order")</f>
        <v>Bulk Order</v>
      </c>
      <c r="N2" t="str">
        <f>_xlfn.CONCAT(Table1[[#This Row],[Category]],"-",Table1[[#This Row],[City]])</f>
        <v>Lifestyle-Chennai</v>
      </c>
      <c r="O2" t="str">
        <f>LEFT(Table1[[#This Row],[Category]],3)</f>
        <v>Lif</v>
      </c>
      <c r="P2" s="2"/>
    </row>
    <row r="3" spans="1:20" x14ac:dyDescent="0.35">
      <c r="A3" t="s">
        <v>13</v>
      </c>
      <c r="B3" t="s">
        <v>1213</v>
      </c>
      <c r="C3" t="s">
        <v>1225</v>
      </c>
      <c r="D3">
        <v>3162</v>
      </c>
      <c r="E3">
        <v>3</v>
      </c>
      <c r="F3" t="s">
        <v>1230</v>
      </c>
      <c r="G3" t="s">
        <v>1585</v>
      </c>
      <c r="H3" t="s">
        <v>1590</v>
      </c>
      <c r="I3">
        <v>9486</v>
      </c>
      <c r="J3">
        <v>38</v>
      </c>
      <c r="K3" t="s">
        <v>1595</v>
      </c>
      <c r="L3" t="s">
        <v>1598</v>
      </c>
      <c r="M3" t="str">
        <f>IF(Table1[[#This Row],[Quantity]]&gt;2,"Bulk Order","Normal Order")</f>
        <v>Bulk Order</v>
      </c>
      <c r="N3" t="str">
        <f>_xlfn.CONCAT(Table1[[#This Row],[Category]],"-",Table1[[#This Row],[City]])</f>
        <v>Fitness-Kolkata</v>
      </c>
      <c r="O3" t="str">
        <f>LEFT(Table1[[#This Row],[Category]],3)</f>
        <v>Fit</v>
      </c>
      <c r="S3" s="2" t="s">
        <v>1600</v>
      </c>
      <c r="T3" t="s">
        <v>1601</v>
      </c>
    </row>
    <row r="4" spans="1:20" x14ac:dyDescent="0.35">
      <c r="A4" t="s">
        <v>14</v>
      </c>
      <c r="B4" t="s">
        <v>1214</v>
      </c>
      <c r="C4" t="s">
        <v>1225</v>
      </c>
      <c r="D4">
        <v>4165</v>
      </c>
      <c r="E4">
        <v>4</v>
      </c>
      <c r="F4" t="s">
        <v>1231</v>
      </c>
      <c r="G4" t="s">
        <v>1584</v>
      </c>
      <c r="H4" t="s">
        <v>1591</v>
      </c>
      <c r="I4">
        <v>16660</v>
      </c>
      <c r="J4">
        <v>27</v>
      </c>
      <c r="K4" t="s">
        <v>1595</v>
      </c>
      <c r="L4" t="s">
        <v>1599</v>
      </c>
      <c r="M4" t="str">
        <f>IF(Table1[[#This Row],[Quantity]]&gt;2,"Bulk Order","Normal Order")</f>
        <v>Bulk Order</v>
      </c>
      <c r="N4" t="str">
        <f>_xlfn.CONCAT(Table1[[#This Row],[Category]],"-",Table1[[#This Row],[City]])</f>
        <v>Fitness-Chennai</v>
      </c>
      <c r="O4" t="str">
        <f>LEFT(Table1[[#This Row],[Category]],3)</f>
        <v>Fit</v>
      </c>
      <c r="P4" s="2"/>
      <c r="S4" s="2" t="s">
        <v>1605</v>
      </c>
      <c r="T4">
        <f>SUM(Table1[Total_Amount])</f>
        <v>8090969</v>
      </c>
    </row>
    <row r="5" spans="1:20" x14ac:dyDescent="0.35">
      <c r="A5" t="s">
        <v>15</v>
      </c>
      <c r="B5" t="s">
        <v>1215</v>
      </c>
      <c r="C5" t="s">
        <v>1226</v>
      </c>
      <c r="D5">
        <v>3740</v>
      </c>
      <c r="E5">
        <v>3</v>
      </c>
      <c r="F5" t="s">
        <v>1232</v>
      </c>
      <c r="G5" t="s">
        <v>1586</v>
      </c>
      <c r="H5" t="s">
        <v>1590</v>
      </c>
      <c r="I5">
        <v>11220</v>
      </c>
      <c r="J5">
        <v>79</v>
      </c>
      <c r="K5" t="s">
        <v>1595</v>
      </c>
      <c r="L5" t="s">
        <v>1598</v>
      </c>
      <c r="M5" t="str">
        <f>IF(Table1[[#This Row],[Quantity]]&gt;2,"Bulk Order","Normal Order")</f>
        <v>Bulk Order</v>
      </c>
      <c r="N5" t="str">
        <f>_xlfn.CONCAT(Table1[[#This Row],[Category]],"-",Table1[[#This Row],[City]])</f>
        <v>Home-Hyderabad</v>
      </c>
      <c r="O5" t="str">
        <f>LEFT(Table1[[#This Row],[Category]],3)</f>
        <v>Hom</v>
      </c>
      <c r="P5" s="2"/>
      <c r="S5" t="s">
        <v>1606</v>
      </c>
      <c r="T5">
        <f>SUM(Table1[Quantity])</f>
        <v>3005</v>
      </c>
    </row>
    <row r="6" spans="1:20" x14ac:dyDescent="0.35">
      <c r="A6" t="s">
        <v>16</v>
      </c>
      <c r="B6" t="s">
        <v>1216</v>
      </c>
      <c r="C6" t="s">
        <v>1227</v>
      </c>
      <c r="D6">
        <v>3670</v>
      </c>
      <c r="E6">
        <v>2</v>
      </c>
      <c r="F6" t="s">
        <v>1233</v>
      </c>
      <c r="G6" t="s">
        <v>1585</v>
      </c>
      <c r="H6" t="s">
        <v>1592</v>
      </c>
      <c r="I6">
        <v>7340</v>
      </c>
      <c r="J6">
        <v>20</v>
      </c>
      <c r="K6" t="s">
        <v>1595</v>
      </c>
      <c r="L6" t="s">
        <v>1599</v>
      </c>
      <c r="M6" t="str">
        <f>IF(Table1[[#This Row],[Quantity]]&gt;2,"Bulk Order","Normal Order")</f>
        <v>Normal Order</v>
      </c>
      <c r="N6" t="str">
        <f>_xlfn.CONCAT(Table1[[#This Row],[Category]],"-",Table1[[#This Row],[City]])</f>
        <v>Accessories-Kolkata</v>
      </c>
      <c r="O6" t="str">
        <f>LEFT(Table1[[#This Row],[Category]],3)</f>
        <v>Acc</v>
      </c>
      <c r="P6" s="2"/>
      <c r="S6" t="s">
        <v>1607</v>
      </c>
      <c r="T6">
        <f>AVERAGE(Table1[Price])</f>
        <v>2687.3766666666666</v>
      </c>
    </row>
    <row r="7" spans="1:20" x14ac:dyDescent="0.35">
      <c r="A7" t="s">
        <v>17</v>
      </c>
      <c r="B7" t="s">
        <v>1217</v>
      </c>
      <c r="C7" t="s">
        <v>1227</v>
      </c>
      <c r="D7">
        <v>671</v>
      </c>
      <c r="E7">
        <v>2</v>
      </c>
      <c r="F7" t="s">
        <v>1234</v>
      </c>
      <c r="G7" t="s">
        <v>1587</v>
      </c>
      <c r="H7" t="s">
        <v>1592</v>
      </c>
      <c r="I7">
        <v>1342</v>
      </c>
      <c r="J7">
        <v>49</v>
      </c>
      <c r="K7" t="s">
        <v>1594</v>
      </c>
      <c r="L7" t="s">
        <v>1597</v>
      </c>
      <c r="M7" t="str">
        <f>IF(Table1[[#This Row],[Quantity]]&gt;2,"Bulk Order","Normal Order")</f>
        <v>Normal Order</v>
      </c>
      <c r="N7" t="str">
        <f>_xlfn.CONCAT(Table1[[#This Row],[Category]],"-",Table1[[#This Row],[City]])</f>
        <v>Accessories-Mumbai</v>
      </c>
      <c r="O7" t="str">
        <f>LEFT(Table1[[#This Row],[Category]],3)</f>
        <v>Acc</v>
      </c>
      <c r="P7" s="2"/>
      <c r="S7" t="s">
        <v>1608</v>
      </c>
      <c r="T7">
        <f>MIN(Table1[Price])</f>
        <v>173</v>
      </c>
    </row>
    <row r="8" spans="1:20" x14ac:dyDescent="0.35">
      <c r="A8" t="s">
        <v>18</v>
      </c>
      <c r="B8" t="s">
        <v>1218</v>
      </c>
      <c r="C8" t="s">
        <v>1224</v>
      </c>
      <c r="D8">
        <v>3362</v>
      </c>
      <c r="E8">
        <v>4</v>
      </c>
      <c r="F8" t="s">
        <v>1235</v>
      </c>
      <c r="G8" t="s">
        <v>1587</v>
      </c>
      <c r="H8" t="s">
        <v>1593</v>
      </c>
      <c r="I8">
        <v>13448</v>
      </c>
      <c r="J8">
        <v>83</v>
      </c>
      <c r="K8" t="s">
        <v>1594</v>
      </c>
      <c r="L8" t="s">
        <v>1599</v>
      </c>
      <c r="M8" t="str">
        <f>IF(Table1[[#This Row],[Quantity]]&gt;2,"Bulk Order","Normal Order")</f>
        <v>Bulk Order</v>
      </c>
      <c r="N8" t="str">
        <f>_xlfn.CONCAT(Table1[[#This Row],[Category]],"-",Table1[[#This Row],[City]])</f>
        <v>Lifestyle-Mumbai</v>
      </c>
      <c r="O8" t="str">
        <f>LEFT(Table1[[#This Row],[Category]],3)</f>
        <v>Lif</v>
      </c>
      <c r="P8" s="2"/>
      <c r="S8" t="s">
        <v>1609</v>
      </c>
      <c r="T8">
        <f>MAX(Table1[Price])</f>
        <v>4998</v>
      </c>
    </row>
    <row r="9" spans="1:20" x14ac:dyDescent="0.35">
      <c r="A9" t="s">
        <v>19</v>
      </c>
      <c r="B9" t="s">
        <v>1218</v>
      </c>
      <c r="C9" t="s">
        <v>1224</v>
      </c>
      <c r="D9">
        <v>2122</v>
      </c>
      <c r="E9">
        <v>1</v>
      </c>
      <c r="F9" t="s">
        <v>1236</v>
      </c>
      <c r="G9" t="s">
        <v>1588</v>
      </c>
      <c r="H9" t="s">
        <v>1591</v>
      </c>
      <c r="I9">
        <v>2122</v>
      </c>
      <c r="J9">
        <v>26</v>
      </c>
      <c r="K9" t="s">
        <v>1595</v>
      </c>
      <c r="L9" t="s">
        <v>1598</v>
      </c>
      <c r="M9" t="str">
        <f>IF(Table1[[#This Row],[Quantity]]&gt;2,"Bulk Order","Normal Order")</f>
        <v>Normal Order</v>
      </c>
      <c r="N9" t="str">
        <f>_xlfn.CONCAT(Table1[[#This Row],[Category]],"-",Table1[[#This Row],[City]])</f>
        <v>Lifestyle-Delhi</v>
      </c>
      <c r="O9" t="str">
        <f>LEFT(Table1[[#This Row],[Category]],3)</f>
        <v>Lif</v>
      </c>
      <c r="P9" s="2"/>
      <c r="S9" t="s">
        <v>1610</v>
      </c>
      <c r="T9" s="3">
        <f ca="1">TODAY()</f>
        <v>45984</v>
      </c>
    </row>
    <row r="10" spans="1:20" x14ac:dyDescent="0.35">
      <c r="A10" t="s">
        <v>20</v>
      </c>
      <c r="B10" t="s">
        <v>1217</v>
      </c>
      <c r="C10" t="s">
        <v>1227</v>
      </c>
      <c r="D10">
        <v>1491</v>
      </c>
      <c r="E10">
        <v>1</v>
      </c>
      <c r="F10" t="s">
        <v>1237</v>
      </c>
      <c r="G10" t="s">
        <v>1586</v>
      </c>
      <c r="H10" t="s">
        <v>1593</v>
      </c>
      <c r="I10">
        <v>1491</v>
      </c>
      <c r="J10">
        <v>28</v>
      </c>
      <c r="K10" t="s">
        <v>1596</v>
      </c>
      <c r="L10" t="s">
        <v>1599</v>
      </c>
      <c r="M10" t="str">
        <f>IF(Table1[[#This Row],[Quantity]]&gt;2,"Bulk Order","Normal Order")</f>
        <v>Normal Order</v>
      </c>
      <c r="N10" t="str">
        <f>_xlfn.CONCAT(Table1[[#This Row],[Category]],"-",Table1[[#This Row],[City]])</f>
        <v>Accessories-Hyderabad</v>
      </c>
      <c r="O10" t="str">
        <f>LEFT(Table1[[#This Row],[Category]],3)</f>
        <v>Acc</v>
      </c>
      <c r="P10" s="2"/>
    </row>
    <row r="11" spans="1:20" x14ac:dyDescent="0.35">
      <c r="A11" t="s">
        <v>21</v>
      </c>
      <c r="B11" t="s">
        <v>1219</v>
      </c>
      <c r="C11" t="s">
        <v>1226</v>
      </c>
      <c r="D11">
        <v>4930</v>
      </c>
      <c r="E11">
        <v>1</v>
      </c>
      <c r="F11" t="s">
        <v>1238</v>
      </c>
      <c r="G11" t="s">
        <v>1584</v>
      </c>
      <c r="H11" t="s">
        <v>1590</v>
      </c>
      <c r="I11">
        <v>4930</v>
      </c>
      <c r="J11">
        <v>91</v>
      </c>
      <c r="K11" t="s">
        <v>1594</v>
      </c>
      <c r="L11" t="s">
        <v>1599</v>
      </c>
      <c r="M11" t="str">
        <f>IF(Table1[[#This Row],[Quantity]]&gt;2,"Bulk Order","Normal Order")</f>
        <v>Normal Order</v>
      </c>
      <c r="N11" t="str">
        <f>_xlfn.CONCAT(Table1[[#This Row],[Category]],"-",Table1[[#This Row],[City]])</f>
        <v>Home-Chennai</v>
      </c>
      <c r="O11" t="str">
        <f>LEFT(Table1[[#This Row],[Category]],3)</f>
        <v>Hom</v>
      </c>
      <c r="P11" s="2"/>
    </row>
    <row r="12" spans="1:20" x14ac:dyDescent="0.35">
      <c r="A12" t="s">
        <v>22</v>
      </c>
      <c r="B12" t="s">
        <v>1217</v>
      </c>
      <c r="C12" t="s">
        <v>1226</v>
      </c>
      <c r="D12">
        <v>1244</v>
      </c>
      <c r="E12">
        <v>3</v>
      </c>
      <c r="F12" t="s">
        <v>1239</v>
      </c>
      <c r="G12" t="s">
        <v>1584</v>
      </c>
      <c r="H12" t="s">
        <v>1593</v>
      </c>
      <c r="I12">
        <v>3732</v>
      </c>
      <c r="J12">
        <v>50</v>
      </c>
      <c r="K12" t="s">
        <v>1595</v>
      </c>
      <c r="L12" t="s">
        <v>1598</v>
      </c>
      <c r="M12" t="str">
        <f>IF(Table1[[#This Row],[Quantity]]&gt;2,"Bulk Order","Normal Order")</f>
        <v>Bulk Order</v>
      </c>
      <c r="N12" t="str">
        <f>_xlfn.CONCAT(Table1[[#This Row],[Category]],"-",Table1[[#This Row],[City]])</f>
        <v>Home-Chennai</v>
      </c>
      <c r="O12" t="str">
        <f>LEFT(Table1[[#This Row],[Category]],3)</f>
        <v>Hom</v>
      </c>
      <c r="P12" s="2"/>
    </row>
    <row r="13" spans="1:20" x14ac:dyDescent="0.35">
      <c r="A13" t="s">
        <v>23</v>
      </c>
      <c r="B13" t="s">
        <v>1216</v>
      </c>
      <c r="C13" t="s">
        <v>1226</v>
      </c>
      <c r="D13">
        <v>4313</v>
      </c>
      <c r="E13">
        <v>2</v>
      </c>
      <c r="F13" t="s">
        <v>1240</v>
      </c>
      <c r="G13" t="s">
        <v>1588</v>
      </c>
      <c r="H13" t="s">
        <v>1590</v>
      </c>
      <c r="I13">
        <v>8626</v>
      </c>
      <c r="J13">
        <v>32</v>
      </c>
      <c r="K13" t="s">
        <v>1595</v>
      </c>
      <c r="L13" t="s">
        <v>1599</v>
      </c>
      <c r="M13" t="str">
        <f>IF(Table1[[#This Row],[Quantity]]&gt;2,"Bulk Order","Normal Order")</f>
        <v>Normal Order</v>
      </c>
      <c r="N13" t="str">
        <f>_xlfn.CONCAT(Table1[[#This Row],[Category]],"-",Table1[[#This Row],[City]])</f>
        <v>Home-Delhi</v>
      </c>
      <c r="O13" t="str">
        <f>LEFT(Table1[[#This Row],[Category]],3)</f>
        <v>Hom</v>
      </c>
      <c r="P13" s="2"/>
    </row>
    <row r="14" spans="1:20" x14ac:dyDescent="0.35">
      <c r="A14" t="s">
        <v>24</v>
      </c>
      <c r="B14" t="s">
        <v>1215</v>
      </c>
      <c r="C14" t="s">
        <v>1225</v>
      </c>
      <c r="D14">
        <v>2962</v>
      </c>
      <c r="E14">
        <v>1</v>
      </c>
      <c r="F14" t="s">
        <v>1241</v>
      </c>
      <c r="G14" t="s">
        <v>1586</v>
      </c>
      <c r="H14" t="s">
        <v>1592</v>
      </c>
      <c r="I14">
        <v>2962</v>
      </c>
      <c r="J14">
        <v>36</v>
      </c>
      <c r="K14" t="s">
        <v>1595</v>
      </c>
      <c r="L14" t="s">
        <v>1597</v>
      </c>
      <c r="M14" t="str">
        <f>IF(Table1[[#This Row],[Quantity]]&gt;2,"Bulk Order","Normal Order")</f>
        <v>Normal Order</v>
      </c>
      <c r="N14" t="str">
        <f>_xlfn.CONCAT(Table1[[#This Row],[Category]],"-",Table1[[#This Row],[City]])</f>
        <v>Fitness-Hyderabad</v>
      </c>
      <c r="O14" t="str">
        <f>LEFT(Table1[[#This Row],[Category]],3)</f>
        <v>Fit</v>
      </c>
      <c r="P14" s="2"/>
    </row>
    <row r="15" spans="1:20" x14ac:dyDescent="0.35">
      <c r="A15" t="s">
        <v>25</v>
      </c>
      <c r="B15" t="s">
        <v>1220</v>
      </c>
      <c r="C15" t="s">
        <v>1224</v>
      </c>
      <c r="D15">
        <v>2243</v>
      </c>
      <c r="E15">
        <v>2</v>
      </c>
      <c r="F15" t="s">
        <v>1242</v>
      </c>
      <c r="G15" t="s">
        <v>1588</v>
      </c>
      <c r="H15" t="s">
        <v>1590</v>
      </c>
      <c r="I15">
        <v>4486</v>
      </c>
      <c r="J15">
        <v>59</v>
      </c>
      <c r="K15" t="s">
        <v>1595</v>
      </c>
      <c r="L15" t="s">
        <v>1598</v>
      </c>
      <c r="M15" t="str">
        <f>IF(Table1[[#This Row],[Quantity]]&gt;2,"Bulk Order","Normal Order")</f>
        <v>Normal Order</v>
      </c>
      <c r="N15" t="str">
        <f>_xlfn.CONCAT(Table1[[#This Row],[Category]],"-",Table1[[#This Row],[City]])</f>
        <v>Lifestyle-Delhi</v>
      </c>
      <c r="O15" t="str">
        <f>LEFT(Table1[[#This Row],[Category]],3)</f>
        <v>Lif</v>
      </c>
      <c r="P15" s="2"/>
    </row>
    <row r="16" spans="1:20" x14ac:dyDescent="0.35">
      <c r="A16" t="s">
        <v>26</v>
      </c>
      <c r="B16" t="s">
        <v>1221</v>
      </c>
      <c r="C16" t="s">
        <v>1224</v>
      </c>
      <c r="D16">
        <v>2049</v>
      </c>
      <c r="E16">
        <v>3</v>
      </c>
      <c r="F16" t="s">
        <v>1243</v>
      </c>
      <c r="G16" t="s">
        <v>1587</v>
      </c>
      <c r="H16" t="s">
        <v>1593</v>
      </c>
      <c r="I16">
        <v>6147</v>
      </c>
      <c r="J16">
        <v>32</v>
      </c>
      <c r="K16" t="s">
        <v>1594</v>
      </c>
      <c r="L16" t="s">
        <v>1599</v>
      </c>
      <c r="M16" t="str">
        <f>IF(Table1[[#This Row],[Quantity]]&gt;2,"Bulk Order","Normal Order")</f>
        <v>Bulk Order</v>
      </c>
      <c r="N16" t="str">
        <f>_xlfn.CONCAT(Table1[[#This Row],[Category]],"-",Table1[[#This Row],[City]])</f>
        <v>Lifestyle-Mumbai</v>
      </c>
      <c r="O16" t="str">
        <f>LEFT(Table1[[#This Row],[Category]],3)</f>
        <v>Lif</v>
      </c>
      <c r="P16" s="2"/>
    </row>
    <row r="17" spans="1:16" x14ac:dyDescent="0.35">
      <c r="A17" t="s">
        <v>27</v>
      </c>
      <c r="B17" t="s">
        <v>1222</v>
      </c>
      <c r="C17" t="s">
        <v>1224</v>
      </c>
      <c r="D17">
        <v>4162</v>
      </c>
      <c r="E17">
        <v>2</v>
      </c>
      <c r="F17" t="s">
        <v>1244</v>
      </c>
      <c r="G17" t="s">
        <v>1589</v>
      </c>
      <c r="H17" t="s">
        <v>1591</v>
      </c>
      <c r="I17">
        <v>8324</v>
      </c>
      <c r="J17">
        <v>92</v>
      </c>
      <c r="K17" t="s">
        <v>1595</v>
      </c>
      <c r="L17" t="s">
        <v>1598</v>
      </c>
      <c r="M17" t="str">
        <f>IF(Table1[[#This Row],[Quantity]]&gt;2,"Bulk Order","Normal Order")</f>
        <v>Normal Order</v>
      </c>
      <c r="N17" t="str">
        <f>_xlfn.CONCAT(Table1[[#This Row],[Category]],"-",Table1[[#This Row],[City]])</f>
        <v>Lifestyle-Bangalore</v>
      </c>
      <c r="O17" t="str">
        <f>LEFT(Table1[[#This Row],[Category]],3)</f>
        <v>Lif</v>
      </c>
      <c r="P17" s="2"/>
    </row>
    <row r="18" spans="1:16" x14ac:dyDescent="0.35">
      <c r="A18" t="s">
        <v>28</v>
      </c>
      <c r="B18" t="s">
        <v>1217</v>
      </c>
      <c r="C18" t="s">
        <v>1224</v>
      </c>
      <c r="D18">
        <v>3815</v>
      </c>
      <c r="E18">
        <v>4</v>
      </c>
      <c r="F18" t="s">
        <v>1245</v>
      </c>
      <c r="G18" t="s">
        <v>1588</v>
      </c>
      <c r="H18" t="s">
        <v>1590</v>
      </c>
      <c r="I18">
        <v>15260</v>
      </c>
      <c r="J18">
        <v>86</v>
      </c>
      <c r="K18" t="s">
        <v>1595</v>
      </c>
      <c r="L18" t="s">
        <v>1597</v>
      </c>
      <c r="M18" t="str">
        <f>IF(Table1[[#This Row],[Quantity]]&gt;2,"Bulk Order","Normal Order")</f>
        <v>Bulk Order</v>
      </c>
      <c r="N18" t="str">
        <f>_xlfn.CONCAT(Table1[[#This Row],[Category]],"-",Table1[[#This Row],[City]])</f>
        <v>Lifestyle-Delhi</v>
      </c>
      <c r="O18" t="str">
        <f>LEFT(Table1[[#This Row],[Category]],3)</f>
        <v>Lif</v>
      </c>
      <c r="P18" s="2"/>
    </row>
    <row r="19" spans="1:16" x14ac:dyDescent="0.35">
      <c r="A19" t="s">
        <v>29</v>
      </c>
      <c r="B19" t="s">
        <v>1221</v>
      </c>
      <c r="C19" t="s">
        <v>1228</v>
      </c>
      <c r="D19">
        <v>3138</v>
      </c>
      <c r="E19">
        <v>4</v>
      </c>
      <c r="F19" t="s">
        <v>1246</v>
      </c>
      <c r="G19" t="s">
        <v>1585</v>
      </c>
      <c r="H19" t="s">
        <v>1591</v>
      </c>
      <c r="I19">
        <v>12552</v>
      </c>
      <c r="J19">
        <v>83</v>
      </c>
      <c r="K19" t="s">
        <v>1594</v>
      </c>
      <c r="L19" t="s">
        <v>1597</v>
      </c>
      <c r="M19" t="str">
        <f>IF(Table1[[#This Row],[Quantity]]&gt;2,"Bulk Order","Normal Order")</f>
        <v>Bulk Order</v>
      </c>
      <c r="N19" t="str">
        <f>_xlfn.CONCAT(Table1[[#This Row],[Category]],"-",Table1[[#This Row],[City]])</f>
        <v>Electronics-Kolkata</v>
      </c>
      <c r="O19" t="str">
        <f>LEFT(Table1[[#This Row],[Category]],3)</f>
        <v>Ele</v>
      </c>
      <c r="P19" s="2"/>
    </row>
    <row r="20" spans="1:16" x14ac:dyDescent="0.35">
      <c r="A20" t="s">
        <v>30</v>
      </c>
      <c r="B20" t="s">
        <v>1213</v>
      </c>
      <c r="C20" t="s">
        <v>1228</v>
      </c>
      <c r="D20">
        <v>506</v>
      </c>
      <c r="E20">
        <v>1</v>
      </c>
      <c r="F20" t="s">
        <v>1247</v>
      </c>
      <c r="G20" t="s">
        <v>1585</v>
      </c>
      <c r="H20" t="s">
        <v>1591</v>
      </c>
      <c r="I20">
        <v>506</v>
      </c>
      <c r="J20">
        <v>81</v>
      </c>
      <c r="K20" t="s">
        <v>1595</v>
      </c>
      <c r="L20" t="s">
        <v>1599</v>
      </c>
      <c r="M20" t="str">
        <f>IF(Table1[[#This Row],[Quantity]]&gt;2,"Bulk Order","Normal Order")</f>
        <v>Normal Order</v>
      </c>
      <c r="N20" t="str">
        <f>_xlfn.CONCAT(Table1[[#This Row],[Category]],"-",Table1[[#This Row],[City]])</f>
        <v>Electronics-Kolkata</v>
      </c>
      <c r="O20" t="str">
        <f>LEFT(Table1[[#This Row],[Category]],3)</f>
        <v>Ele</v>
      </c>
      <c r="P20" s="2"/>
    </row>
    <row r="21" spans="1:16" x14ac:dyDescent="0.35">
      <c r="A21" t="s">
        <v>31</v>
      </c>
      <c r="B21" t="s">
        <v>1213</v>
      </c>
      <c r="C21" t="s">
        <v>1225</v>
      </c>
      <c r="D21">
        <v>799</v>
      </c>
      <c r="E21">
        <v>1</v>
      </c>
      <c r="F21" t="s">
        <v>1248</v>
      </c>
      <c r="G21" t="s">
        <v>1588</v>
      </c>
      <c r="H21" t="s">
        <v>1591</v>
      </c>
      <c r="I21">
        <v>799</v>
      </c>
      <c r="J21">
        <v>97</v>
      </c>
      <c r="K21" t="s">
        <v>1595</v>
      </c>
      <c r="L21" t="s">
        <v>1598</v>
      </c>
      <c r="M21" t="str">
        <f>IF(Table1[[#This Row],[Quantity]]&gt;2,"Bulk Order","Normal Order")</f>
        <v>Normal Order</v>
      </c>
      <c r="N21" t="str">
        <f>_xlfn.CONCAT(Table1[[#This Row],[Category]],"-",Table1[[#This Row],[City]])</f>
        <v>Fitness-Delhi</v>
      </c>
      <c r="O21" t="str">
        <f>LEFT(Table1[[#This Row],[Category]],3)</f>
        <v>Fit</v>
      </c>
      <c r="P21" s="2"/>
    </row>
    <row r="22" spans="1:16" x14ac:dyDescent="0.35">
      <c r="A22" t="s">
        <v>32</v>
      </c>
      <c r="B22" t="s">
        <v>1220</v>
      </c>
      <c r="C22" t="s">
        <v>1226</v>
      </c>
      <c r="D22">
        <v>2661</v>
      </c>
      <c r="E22">
        <v>4</v>
      </c>
      <c r="F22" t="s">
        <v>1249</v>
      </c>
      <c r="G22" t="s">
        <v>1587</v>
      </c>
      <c r="H22" t="s">
        <v>1590</v>
      </c>
      <c r="I22">
        <v>10644</v>
      </c>
      <c r="J22">
        <v>26</v>
      </c>
      <c r="K22" t="s">
        <v>1595</v>
      </c>
      <c r="L22" t="s">
        <v>1599</v>
      </c>
      <c r="M22" t="str">
        <f>IF(Table1[[#This Row],[Quantity]]&gt;2,"Bulk Order","Normal Order")</f>
        <v>Bulk Order</v>
      </c>
      <c r="N22" t="str">
        <f>_xlfn.CONCAT(Table1[[#This Row],[Category]],"-",Table1[[#This Row],[City]])</f>
        <v>Home-Mumbai</v>
      </c>
      <c r="O22" t="str">
        <f>LEFT(Table1[[#This Row],[Category]],3)</f>
        <v>Hom</v>
      </c>
      <c r="P22" s="2"/>
    </row>
    <row r="23" spans="1:16" x14ac:dyDescent="0.35">
      <c r="A23" t="s">
        <v>33</v>
      </c>
      <c r="B23" t="s">
        <v>1212</v>
      </c>
      <c r="C23" t="s">
        <v>1227</v>
      </c>
      <c r="D23">
        <v>2070</v>
      </c>
      <c r="E23">
        <v>3</v>
      </c>
      <c r="F23" t="s">
        <v>1250</v>
      </c>
      <c r="G23" t="s">
        <v>1589</v>
      </c>
      <c r="H23" t="s">
        <v>1593</v>
      </c>
      <c r="I23">
        <v>6210</v>
      </c>
      <c r="J23">
        <v>87</v>
      </c>
      <c r="K23" t="s">
        <v>1595</v>
      </c>
      <c r="L23" t="s">
        <v>1597</v>
      </c>
      <c r="M23" t="str">
        <f>IF(Table1[[#This Row],[Quantity]]&gt;2,"Bulk Order","Normal Order")</f>
        <v>Bulk Order</v>
      </c>
      <c r="N23" t="str">
        <f>_xlfn.CONCAT(Table1[[#This Row],[Category]],"-",Table1[[#This Row],[City]])</f>
        <v>Accessories-Bangalore</v>
      </c>
      <c r="O23" t="str">
        <f>LEFT(Table1[[#This Row],[Category]],3)</f>
        <v>Acc</v>
      </c>
      <c r="P23" s="2"/>
    </row>
    <row r="24" spans="1:16" x14ac:dyDescent="0.35">
      <c r="A24" t="s">
        <v>34</v>
      </c>
      <c r="B24" t="s">
        <v>1217</v>
      </c>
      <c r="C24" t="s">
        <v>1228</v>
      </c>
      <c r="D24">
        <v>3216</v>
      </c>
      <c r="E24">
        <v>1</v>
      </c>
      <c r="F24" t="s">
        <v>1251</v>
      </c>
      <c r="G24" t="s">
        <v>1587</v>
      </c>
      <c r="H24" t="s">
        <v>1591</v>
      </c>
      <c r="I24">
        <v>3216</v>
      </c>
      <c r="J24">
        <v>45</v>
      </c>
      <c r="K24" t="s">
        <v>1595</v>
      </c>
      <c r="L24" t="s">
        <v>1599</v>
      </c>
      <c r="M24" t="str">
        <f>IF(Table1[[#This Row],[Quantity]]&gt;2,"Bulk Order","Normal Order")</f>
        <v>Normal Order</v>
      </c>
      <c r="N24" t="str">
        <f>_xlfn.CONCAT(Table1[[#This Row],[Category]],"-",Table1[[#This Row],[City]])</f>
        <v>Electronics-Mumbai</v>
      </c>
      <c r="O24" t="str">
        <f>LEFT(Table1[[#This Row],[Category]],3)</f>
        <v>Ele</v>
      </c>
      <c r="P24" s="2"/>
    </row>
    <row r="25" spans="1:16" x14ac:dyDescent="0.35">
      <c r="A25" t="s">
        <v>35</v>
      </c>
      <c r="B25" t="s">
        <v>1218</v>
      </c>
      <c r="C25" t="s">
        <v>1227</v>
      </c>
      <c r="D25">
        <v>4438</v>
      </c>
      <c r="E25">
        <v>4</v>
      </c>
      <c r="F25" t="s">
        <v>1252</v>
      </c>
      <c r="G25" t="s">
        <v>1587</v>
      </c>
      <c r="H25" t="s">
        <v>1591</v>
      </c>
      <c r="I25">
        <v>17752</v>
      </c>
      <c r="J25">
        <v>34</v>
      </c>
      <c r="K25" t="s">
        <v>1594</v>
      </c>
      <c r="L25" t="s">
        <v>1598</v>
      </c>
      <c r="M25" t="str">
        <f>IF(Table1[[#This Row],[Quantity]]&gt;2,"Bulk Order","Normal Order")</f>
        <v>Bulk Order</v>
      </c>
      <c r="N25" t="str">
        <f>_xlfn.CONCAT(Table1[[#This Row],[Category]],"-",Table1[[#This Row],[City]])</f>
        <v>Accessories-Mumbai</v>
      </c>
      <c r="O25" t="str">
        <f>LEFT(Table1[[#This Row],[Category]],3)</f>
        <v>Acc</v>
      </c>
      <c r="P25" s="2"/>
    </row>
    <row r="26" spans="1:16" x14ac:dyDescent="0.35">
      <c r="A26" t="s">
        <v>36</v>
      </c>
      <c r="B26" t="s">
        <v>1215</v>
      </c>
      <c r="C26" t="s">
        <v>1224</v>
      </c>
      <c r="D26">
        <v>3063</v>
      </c>
      <c r="E26">
        <v>1</v>
      </c>
      <c r="F26" t="s">
        <v>1253</v>
      </c>
      <c r="G26" t="s">
        <v>1589</v>
      </c>
      <c r="H26" t="s">
        <v>1592</v>
      </c>
      <c r="I26">
        <v>3063</v>
      </c>
      <c r="J26">
        <v>22</v>
      </c>
      <c r="K26" t="s">
        <v>1595</v>
      </c>
      <c r="L26" t="s">
        <v>1597</v>
      </c>
      <c r="M26" t="str">
        <f>IF(Table1[[#This Row],[Quantity]]&gt;2,"Bulk Order","Normal Order")</f>
        <v>Normal Order</v>
      </c>
      <c r="N26" t="str">
        <f>_xlfn.CONCAT(Table1[[#This Row],[Category]],"-",Table1[[#This Row],[City]])</f>
        <v>Lifestyle-Bangalore</v>
      </c>
      <c r="O26" t="str">
        <f>LEFT(Table1[[#This Row],[Category]],3)</f>
        <v>Lif</v>
      </c>
      <c r="P26" s="2"/>
    </row>
    <row r="27" spans="1:16" x14ac:dyDescent="0.35">
      <c r="A27" t="s">
        <v>37</v>
      </c>
      <c r="B27" t="s">
        <v>1222</v>
      </c>
      <c r="C27" t="s">
        <v>1225</v>
      </c>
      <c r="D27">
        <v>604</v>
      </c>
      <c r="E27">
        <v>1</v>
      </c>
      <c r="F27" t="s">
        <v>1254</v>
      </c>
      <c r="G27" t="s">
        <v>1589</v>
      </c>
      <c r="H27" t="s">
        <v>1592</v>
      </c>
      <c r="I27">
        <v>604</v>
      </c>
      <c r="J27">
        <v>57</v>
      </c>
      <c r="K27" t="s">
        <v>1595</v>
      </c>
      <c r="L27" t="s">
        <v>1598</v>
      </c>
      <c r="M27" t="str">
        <f>IF(Table1[[#This Row],[Quantity]]&gt;2,"Bulk Order","Normal Order")</f>
        <v>Normal Order</v>
      </c>
      <c r="N27" t="str">
        <f>_xlfn.CONCAT(Table1[[#This Row],[Category]],"-",Table1[[#This Row],[City]])</f>
        <v>Fitness-Bangalore</v>
      </c>
      <c r="O27" t="str">
        <f>LEFT(Table1[[#This Row],[Category]],3)</f>
        <v>Fit</v>
      </c>
      <c r="P27" s="2"/>
    </row>
    <row r="28" spans="1:16" x14ac:dyDescent="0.35">
      <c r="A28" t="s">
        <v>38</v>
      </c>
      <c r="B28" t="s">
        <v>1214</v>
      </c>
      <c r="C28" t="s">
        <v>1227</v>
      </c>
      <c r="D28">
        <v>4220</v>
      </c>
      <c r="E28">
        <v>4</v>
      </c>
      <c r="F28" t="s">
        <v>1255</v>
      </c>
      <c r="G28" t="s">
        <v>1589</v>
      </c>
      <c r="H28" t="s">
        <v>1592</v>
      </c>
      <c r="I28">
        <v>16880</v>
      </c>
      <c r="J28">
        <v>89</v>
      </c>
      <c r="K28" t="s">
        <v>1595</v>
      </c>
      <c r="L28" t="s">
        <v>1597</v>
      </c>
      <c r="M28" t="str">
        <f>IF(Table1[[#This Row],[Quantity]]&gt;2,"Bulk Order","Normal Order")</f>
        <v>Bulk Order</v>
      </c>
      <c r="N28" t="str">
        <f>_xlfn.CONCAT(Table1[[#This Row],[Category]],"-",Table1[[#This Row],[City]])</f>
        <v>Accessories-Bangalore</v>
      </c>
      <c r="O28" t="str">
        <f>LEFT(Table1[[#This Row],[Category]],3)</f>
        <v>Acc</v>
      </c>
      <c r="P28" s="2"/>
    </row>
    <row r="29" spans="1:16" x14ac:dyDescent="0.35">
      <c r="A29" t="s">
        <v>39</v>
      </c>
      <c r="B29" t="s">
        <v>1217</v>
      </c>
      <c r="C29" t="s">
        <v>1224</v>
      </c>
      <c r="D29">
        <v>4665</v>
      </c>
      <c r="E29">
        <v>2</v>
      </c>
      <c r="F29" t="s">
        <v>1256</v>
      </c>
      <c r="G29" t="s">
        <v>1589</v>
      </c>
      <c r="H29" t="s">
        <v>1590</v>
      </c>
      <c r="I29">
        <v>9330</v>
      </c>
      <c r="J29">
        <v>78</v>
      </c>
      <c r="K29" t="s">
        <v>1595</v>
      </c>
      <c r="L29" t="s">
        <v>1597</v>
      </c>
      <c r="M29" t="str">
        <f>IF(Table1[[#This Row],[Quantity]]&gt;2,"Bulk Order","Normal Order")</f>
        <v>Normal Order</v>
      </c>
      <c r="N29" t="str">
        <f>_xlfn.CONCAT(Table1[[#This Row],[Category]],"-",Table1[[#This Row],[City]])</f>
        <v>Lifestyle-Bangalore</v>
      </c>
      <c r="O29" t="str">
        <f>LEFT(Table1[[#This Row],[Category]],3)</f>
        <v>Lif</v>
      </c>
      <c r="P29" s="2"/>
    </row>
    <row r="30" spans="1:16" x14ac:dyDescent="0.35">
      <c r="A30" t="s">
        <v>40</v>
      </c>
      <c r="B30" t="s">
        <v>1214</v>
      </c>
      <c r="C30" t="s">
        <v>1224</v>
      </c>
      <c r="D30">
        <v>4052</v>
      </c>
      <c r="E30">
        <v>1</v>
      </c>
      <c r="F30" t="s">
        <v>1257</v>
      </c>
      <c r="G30" t="s">
        <v>1586</v>
      </c>
      <c r="H30" t="s">
        <v>1590</v>
      </c>
      <c r="I30">
        <v>4052</v>
      </c>
      <c r="J30">
        <v>49</v>
      </c>
      <c r="K30" t="s">
        <v>1595</v>
      </c>
      <c r="L30" t="s">
        <v>1599</v>
      </c>
      <c r="M30" t="str">
        <f>IF(Table1[[#This Row],[Quantity]]&gt;2,"Bulk Order","Normal Order")</f>
        <v>Normal Order</v>
      </c>
      <c r="N30" t="str">
        <f>_xlfn.CONCAT(Table1[[#This Row],[Category]],"-",Table1[[#This Row],[City]])</f>
        <v>Lifestyle-Hyderabad</v>
      </c>
      <c r="O30" t="str">
        <f>LEFT(Table1[[#This Row],[Category]],3)</f>
        <v>Lif</v>
      </c>
      <c r="P30" s="2"/>
    </row>
    <row r="31" spans="1:16" x14ac:dyDescent="0.35">
      <c r="A31" t="s">
        <v>41</v>
      </c>
      <c r="B31" t="s">
        <v>1221</v>
      </c>
      <c r="C31" t="s">
        <v>1228</v>
      </c>
      <c r="D31">
        <v>2716</v>
      </c>
      <c r="E31">
        <v>4</v>
      </c>
      <c r="F31" t="s">
        <v>1258</v>
      </c>
      <c r="G31" t="s">
        <v>1587</v>
      </c>
      <c r="H31" t="s">
        <v>1591</v>
      </c>
      <c r="I31">
        <v>10864</v>
      </c>
      <c r="J31">
        <v>79</v>
      </c>
      <c r="K31" t="s">
        <v>1595</v>
      </c>
      <c r="L31" t="s">
        <v>1598</v>
      </c>
      <c r="M31" t="str">
        <f>IF(Table1[[#This Row],[Quantity]]&gt;2,"Bulk Order","Normal Order")</f>
        <v>Bulk Order</v>
      </c>
      <c r="N31" t="str">
        <f>_xlfn.CONCAT(Table1[[#This Row],[Category]],"-",Table1[[#This Row],[City]])</f>
        <v>Electronics-Mumbai</v>
      </c>
      <c r="O31" t="str">
        <f>LEFT(Table1[[#This Row],[Category]],3)</f>
        <v>Ele</v>
      </c>
      <c r="P31" s="2"/>
    </row>
    <row r="32" spans="1:16" x14ac:dyDescent="0.35">
      <c r="A32" t="s">
        <v>42</v>
      </c>
      <c r="B32" t="s">
        <v>1216</v>
      </c>
      <c r="C32" t="s">
        <v>1226</v>
      </c>
      <c r="D32">
        <v>4286</v>
      </c>
      <c r="E32">
        <v>2</v>
      </c>
      <c r="F32" t="s">
        <v>1259</v>
      </c>
      <c r="G32" t="s">
        <v>1584</v>
      </c>
      <c r="H32" t="s">
        <v>1593</v>
      </c>
      <c r="I32">
        <v>8572</v>
      </c>
      <c r="J32">
        <v>20</v>
      </c>
      <c r="K32" t="s">
        <v>1595</v>
      </c>
      <c r="L32" t="s">
        <v>1599</v>
      </c>
      <c r="M32" t="str">
        <f>IF(Table1[[#This Row],[Quantity]]&gt;2,"Bulk Order","Normal Order")</f>
        <v>Normal Order</v>
      </c>
      <c r="N32" t="str">
        <f>_xlfn.CONCAT(Table1[[#This Row],[Category]],"-",Table1[[#This Row],[City]])</f>
        <v>Home-Chennai</v>
      </c>
      <c r="O32" t="str">
        <f>LEFT(Table1[[#This Row],[Category]],3)</f>
        <v>Hom</v>
      </c>
      <c r="P32" s="2"/>
    </row>
    <row r="33" spans="1:16" x14ac:dyDescent="0.35">
      <c r="A33" t="s">
        <v>43</v>
      </c>
      <c r="B33" t="s">
        <v>1223</v>
      </c>
      <c r="C33" t="s">
        <v>1224</v>
      </c>
      <c r="D33">
        <v>3019</v>
      </c>
      <c r="E33">
        <v>1</v>
      </c>
      <c r="F33" t="s">
        <v>1260</v>
      </c>
      <c r="G33" t="s">
        <v>1588</v>
      </c>
      <c r="H33" t="s">
        <v>1592</v>
      </c>
      <c r="I33">
        <v>3019</v>
      </c>
      <c r="J33">
        <v>29</v>
      </c>
      <c r="K33" t="s">
        <v>1595</v>
      </c>
      <c r="L33" t="s">
        <v>1599</v>
      </c>
      <c r="M33" t="str">
        <f>IF(Table1[[#This Row],[Quantity]]&gt;2,"Bulk Order","Normal Order")</f>
        <v>Normal Order</v>
      </c>
      <c r="N33" t="str">
        <f>_xlfn.CONCAT(Table1[[#This Row],[Category]],"-",Table1[[#This Row],[City]])</f>
        <v>Lifestyle-Delhi</v>
      </c>
      <c r="O33" t="str">
        <f>LEFT(Table1[[#This Row],[Category]],3)</f>
        <v>Lif</v>
      </c>
      <c r="P33" s="2"/>
    </row>
    <row r="34" spans="1:16" x14ac:dyDescent="0.35">
      <c r="A34" t="s">
        <v>44</v>
      </c>
      <c r="B34" t="s">
        <v>1222</v>
      </c>
      <c r="C34" t="s">
        <v>1227</v>
      </c>
      <c r="D34">
        <v>4343</v>
      </c>
      <c r="E34">
        <v>1</v>
      </c>
      <c r="F34" t="s">
        <v>1261</v>
      </c>
      <c r="G34" t="s">
        <v>1589</v>
      </c>
      <c r="H34" t="s">
        <v>1590</v>
      </c>
      <c r="I34">
        <v>4343</v>
      </c>
      <c r="J34">
        <v>62</v>
      </c>
      <c r="K34" t="s">
        <v>1595</v>
      </c>
      <c r="L34" t="s">
        <v>1598</v>
      </c>
      <c r="M34" t="str">
        <f>IF(Table1[[#This Row],[Quantity]]&gt;2,"Bulk Order","Normal Order")</f>
        <v>Normal Order</v>
      </c>
      <c r="N34" t="str">
        <f>_xlfn.CONCAT(Table1[[#This Row],[Category]],"-",Table1[[#This Row],[City]])</f>
        <v>Accessories-Bangalore</v>
      </c>
      <c r="O34" t="str">
        <f>LEFT(Table1[[#This Row],[Category]],3)</f>
        <v>Acc</v>
      </c>
      <c r="P34" s="2"/>
    </row>
    <row r="35" spans="1:16" x14ac:dyDescent="0.35">
      <c r="A35" t="s">
        <v>45</v>
      </c>
      <c r="B35" t="s">
        <v>1212</v>
      </c>
      <c r="C35" t="s">
        <v>1225</v>
      </c>
      <c r="D35">
        <v>950</v>
      </c>
      <c r="E35">
        <v>1</v>
      </c>
      <c r="F35" t="s">
        <v>1262</v>
      </c>
      <c r="G35" t="s">
        <v>1586</v>
      </c>
      <c r="H35" t="s">
        <v>1591</v>
      </c>
      <c r="I35">
        <v>950</v>
      </c>
      <c r="J35">
        <v>96</v>
      </c>
      <c r="K35" t="s">
        <v>1594</v>
      </c>
      <c r="L35" t="s">
        <v>1599</v>
      </c>
      <c r="M35" t="str">
        <f>IF(Table1[[#This Row],[Quantity]]&gt;2,"Bulk Order","Normal Order")</f>
        <v>Normal Order</v>
      </c>
      <c r="N35" t="str">
        <f>_xlfn.CONCAT(Table1[[#This Row],[Category]],"-",Table1[[#This Row],[City]])</f>
        <v>Fitness-Hyderabad</v>
      </c>
      <c r="O35" t="str">
        <f>LEFT(Table1[[#This Row],[Category]],3)</f>
        <v>Fit</v>
      </c>
      <c r="P35" s="2"/>
    </row>
    <row r="36" spans="1:16" x14ac:dyDescent="0.35">
      <c r="A36" t="s">
        <v>46</v>
      </c>
      <c r="B36" t="s">
        <v>1212</v>
      </c>
      <c r="C36" t="s">
        <v>1225</v>
      </c>
      <c r="D36">
        <v>3205</v>
      </c>
      <c r="E36">
        <v>1</v>
      </c>
      <c r="F36" t="s">
        <v>1263</v>
      </c>
      <c r="G36" t="s">
        <v>1588</v>
      </c>
      <c r="H36" t="s">
        <v>1592</v>
      </c>
      <c r="I36">
        <v>3205</v>
      </c>
      <c r="J36">
        <v>94</v>
      </c>
      <c r="K36" t="s">
        <v>1595</v>
      </c>
      <c r="L36" t="s">
        <v>1598</v>
      </c>
      <c r="M36" t="str">
        <f>IF(Table1[[#This Row],[Quantity]]&gt;2,"Bulk Order","Normal Order")</f>
        <v>Normal Order</v>
      </c>
      <c r="N36" t="str">
        <f>_xlfn.CONCAT(Table1[[#This Row],[Category]],"-",Table1[[#This Row],[City]])</f>
        <v>Fitness-Delhi</v>
      </c>
      <c r="O36" t="str">
        <f>LEFT(Table1[[#This Row],[Category]],3)</f>
        <v>Fit</v>
      </c>
      <c r="P36" s="2"/>
    </row>
    <row r="37" spans="1:16" x14ac:dyDescent="0.35">
      <c r="A37" t="s">
        <v>47</v>
      </c>
      <c r="B37" t="s">
        <v>1218</v>
      </c>
      <c r="C37" t="s">
        <v>1227</v>
      </c>
      <c r="D37">
        <v>3318</v>
      </c>
      <c r="E37">
        <v>1</v>
      </c>
      <c r="F37" t="s">
        <v>1264</v>
      </c>
      <c r="G37" t="s">
        <v>1587</v>
      </c>
      <c r="H37" t="s">
        <v>1590</v>
      </c>
      <c r="I37">
        <v>3318</v>
      </c>
      <c r="J37">
        <v>21</v>
      </c>
      <c r="K37" t="s">
        <v>1595</v>
      </c>
      <c r="L37" t="s">
        <v>1598</v>
      </c>
      <c r="M37" t="str">
        <f>IF(Table1[[#This Row],[Quantity]]&gt;2,"Bulk Order","Normal Order")</f>
        <v>Normal Order</v>
      </c>
      <c r="N37" t="str">
        <f>_xlfn.CONCAT(Table1[[#This Row],[Category]],"-",Table1[[#This Row],[City]])</f>
        <v>Accessories-Mumbai</v>
      </c>
      <c r="O37" t="str">
        <f>LEFT(Table1[[#This Row],[Category]],3)</f>
        <v>Acc</v>
      </c>
      <c r="P37" s="2"/>
    </row>
    <row r="38" spans="1:16" x14ac:dyDescent="0.35">
      <c r="A38" t="s">
        <v>48</v>
      </c>
      <c r="B38" t="s">
        <v>1214</v>
      </c>
      <c r="C38" t="s">
        <v>1225</v>
      </c>
      <c r="D38">
        <v>3153</v>
      </c>
      <c r="E38">
        <v>2</v>
      </c>
      <c r="F38" t="s">
        <v>1265</v>
      </c>
      <c r="G38" t="s">
        <v>1585</v>
      </c>
      <c r="H38" t="s">
        <v>1593</v>
      </c>
      <c r="I38">
        <v>6306</v>
      </c>
      <c r="J38">
        <v>32</v>
      </c>
      <c r="K38" t="s">
        <v>1595</v>
      </c>
      <c r="L38" t="s">
        <v>1599</v>
      </c>
      <c r="M38" t="str">
        <f>IF(Table1[[#This Row],[Quantity]]&gt;2,"Bulk Order","Normal Order")</f>
        <v>Normal Order</v>
      </c>
      <c r="N38" t="str">
        <f>_xlfn.CONCAT(Table1[[#This Row],[Category]],"-",Table1[[#This Row],[City]])</f>
        <v>Fitness-Kolkata</v>
      </c>
      <c r="O38" t="str">
        <f>LEFT(Table1[[#This Row],[Category]],3)</f>
        <v>Fit</v>
      </c>
      <c r="P38" s="2"/>
    </row>
    <row r="39" spans="1:16" x14ac:dyDescent="0.35">
      <c r="A39" t="s">
        <v>49</v>
      </c>
      <c r="B39" t="s">
        <v>1223</v>
      </c>
      <c r="C39" t="s">
        <v>1226</v>
      </c>
      <c r="D39">
        <v>2495</v>
      </c>
      <c r="E39">
        <v>4</v>
      </c>
      <c r="F39" t="s">
        <v>1233</v>
      </c>
      <c r="G39" t="s">
        <v>1587</v>
      </c>
      <c r="H39" t="s">
        <v>1591</v>
      </c>
      <c r="I39">
        <v>9980</v>
      </c>
      <c r="J39">
        <v>98</v>
      </c>
      <c r="K39" t="s">
        <v>1596</v>
      </c>
      <c r="L39" t="s">
        <v>1598</v>
      </c>
      <c r="M39" t="str">
        <f>IF(Table1[[#This Row],[Quantity]]&gt;2,"Bulk Order","Normal Order")</f>
        <v>Bulk Order</v>
      </c>
      <c r="N39" t="str">
        <f>_xlfn.CONCAT(Table1[[#This Row],[Category]],"-",Table1[[#This Row],[City]])</f>
        <v>Home-Mumbai</v>
      </c>
      <c r="O39" t="str">
        <f>LEFT(Table1[[#This Row],[Category]],3)</f>
        <v>Hom</v>
      </c>
      <c r="P39" s="2"/>
    </row>
    <row r="40" spans="1:16" x14ac:dyDescent="0.35">
      <c r="A40" t="s">
        <v>50</v>
      </c>
      <c r="B40" t="s">
        <v>1214</v>
      </c>
      <c r="C40" t="s">
        <v>1224</v>
      </c>
      <c r="D40">
        <v>248</v>
      </c>
      <c r="E40">
        <v>1</v>
      </c>
      <c r="F40" t="s">
        <v>1239</v>
      </c>
      <c r="G40" t="s">
        <v>1588</v>
      </c>
      <c r="H40" t="s">
        <v>1592</v>
      </c>
      <c r="I40">
        <v>248</v>
      </c>
      <c r="J40">
        <v>65</v>
      </c>
      <c r="K40" t="s">
        <v>1595</v>
      </c>
      <c r="L40" t="s">
        <v>1599</v>
      </c>
      <c r="M40" t="str">
        <f>IF(Table1[[#This Row],[Quantity]]&gt;2,"Bulk Order","Normal Order")</f>
        <v>Normal Order</v>
      </c>
      <c r="N40" t="str">
        <f>_xlfn.CONCAT(Table1[[#This Row],[Category]],"-",Table1[[#This Row],[City]])</f>
        <v>Lifestyle-Delhi</v>
      </c>
      <c r="O40" t="str">
        <f>LEFT(Table1[[#This Row],[Category]],3)</f>
        <v>Lif</v>
      </c>
      <c r="P40" s="2"/>
    </row>
    <row r="41" spans="1:16" x14ac:dyDescent="0.35">
      <c r="A41" t="s">
        <v>51</v>
      </c>
      <c r="B41" t="s">
        <v>1212</v>
      </c>
      <c r="C41" t="s">
        <v>1224</v>
      </c>
      <c r="D41">
        <v>687</v>
      </c>
      <c r="E41">
        <v>2</v>
      </c>
      <c r="F41" t="s">
        <v>1266</v>
      </c>
      <c r="G41" t="s">
        <v>1589</v>
      </c>
      <c r="H41" t="s">
        <v>1592</v>
      </c>
      <c r="I41">
        <v>1374</v>
      </c>
      <c r="J41">
        <v>62</v>
      </c>
      <c r="K41" t="s">
        <v>1595</v>
      </c>
      <c r="L41" t="s">
        <v>1598</v>
      </c>
      <c r="M41" t="str">
        <f>IF(Table1[[#This Row],[Quantity]]&gt;2,"Bulk Order","Normal Order")</f>
        <v>Normal Order</v>
      </c>
      <c r="N41" t="str">
        <f>_xlfn.CONCAT(Table1[[#This Row],[Category]],"-",Table1[[#This Row],[City]])</f>
        <v>Lifestyle-Bangalore</v>
      </c>
      <c r="O41" t="str">
        <f>LEFT(Table1[[#This Row],[Category]],3)</f>
        <v>Lif</v>
      </c>
      <c r="P41" s="2"/>
    </row>
    <row r="42" spans="1:16" x14ac:dyDescent="0.35">
      <c r="A42" t="s">
        <v>52</v>
      </c>
      <c r="B42" t="s">
        <v>1215</v>
      </c>
      <c r="C42" t="s">
        <v>1228</v>
      </c>
      <c r="D42">
        <v>4549</v>
      </c>
      <c r="E42">
        <v>3</v>
      </c>
      <c r="F42" t="s">
        <v>1267</v>
      </c>
      <c r="G42" t="s">
        <v>1588</v>
      </c>
      <c r="H42" t="s">
        <v>1592</v>
      </c>
      <c r="I42">
        <v>13647</v>
      </c>
      <c r="J42">
        <v>21</v>
      </c>
      <c r="K42" t="s">
        <v>1595</v>
      </c>
      <c r="L42" t="s">
        <v>1599</v>
      </c>
      <c r="M42" t="str">
        <f>IF(Table1[[#This Row],[Quantity]]&gt;2,"Bulk Order","Normal Order")</f>
        <v>Bulk Order</v>
      </c>
      <c r="N42" t="str">
        <f>_xlfn.CONCAT(Table1[[#This Row],[Category]],"-",Table1[[#This Row],[City]])</f>
        <v>Electronics-Delhi</v>
      </c>
      <c r="O42" t="str">
        <f>LEFT(Table1[[#This Row],[Category]],3)</f>
        <v>Ele</v>
      </c>
      <c r="P42" s="2"/>
    </row>
    <row r="43" spans="1:16" x14ac:dyDescent="0.35">
      <c r="A43" t="s">
        <v>53</v>
      </c>
      <c r="B43" t="s">
        <v>1215</v>
      </c>
      <c r="C43" t="s">
        <v>1226</v>
      </c>
      <c r="D43">
        <v>2029</v>
      </c>
      <c r="E43">
        <v>3</v>
      </c>
      <c r="F43" t="s">
        <v>1268</v>
      </c>
      <c r="G43" t="s">
        <v>1585</v>
      </c>
      <c r="H43" t="s">
        <v>1590</v>
      </c>
      <c r="I43">
        <v>6087</v>
      </c>
      <c r="J43">
        <v>34</v>
      </c>
      <c r="K43" t="s">
        <v>1594</v>
      </c>
      <c r="L43" t="s">
        <v>1599</v>
      </c>
      <c r="M43" t="str">
        <f>IF(Table1[[#This Row],[Quantity]]&gt;2,"Bulk Order","Normal Order")</f>
        <v>Bulk Order</v>
      </c>
      <c r="N43" t="str">
        <f>_xlfn.CONCAT(Table1[[#This Row],[Category]],"-",Table1[[#This Row],[City]])</f>
        <v>Home-Kolkata</v>
      </c>
      <c r="O43" t="str">
        <f>LEFT(Table1[[#This Row],[Category]],3)</f>
        <v>Hom</v>
      </c>
      <c r="P43" s="2"/>
    </row>
    <row r="44" spans="1:16" x14ac:dyDescent="0.35">
      <c r="A44" t="s">
        <v>54</v>
      </c>
      <c r="B44" t="s">
        <v>1214</v>
      </c>
      <c r="C44" t="s">
        <v>1226</v>
      </c>
      <c r="D44">
        <v>4949</v>
      </c>
      <c r="E44">
        <v>3</v>
      </c>
      <c r="F44" t="s">
        <v>1260</v>
      </c>
      <c r="G44" t="s">
        <v>1589</v>
      </c>
      <c r="H44" t="s">
        <v>1593</v>
      </c>
      <c r="I44">
        <v>14847</v>
      </c>
      <c r="J44">
        <v>53</v>
      </c>
      <c r="K44" t="s">
        <v>1595</v>
      </c>
      <c r="L44" t="s">
        <v>1598</v>
      </c>
      <c r="M44" t="str">
        <f>IF(Table1[[#This Row],[Quantity]]&gt;2,"Bulk Order","Normal Order")</f>
        <v>Bulk Order</v>
      </c>
      <c r="N44" t="str">
        <f>_xlfn.CONCAT(Table1[[#This Row],[Category]],"-",Table1[[#This Row],[City]])</f>
        <v>Home-Bangalore</v>
      </c>
      <c r="O44" t="str">
        <f>LEFT(Table1[[#This Row],[Category]],3)</f>
        <v>Hom</v>
      </c>
      <c r="P44" s="2"/>
    </row>
    <row r="45" spans="1:16" x14ac:dyDescent="0.35">
      <c r="A45" t="s">
        <v>55</v>
      </c>
      <c r="B45" t="s">
        <v>1221</v>
      </c>
      <c r="C45" t="s">
        <v>1227</v>
      </c>
      <c r="D45">
        <v>2391</v>
      </c>
      <c r="E45">
        <v>1</v>
      </c>
      <c r="F45" t="s">
        <v>1269</v>
      </c>
      <c r="G45" t="s">
        <v>1587</v>
      </c>
      <c r="H45" t="s">
        <v>1593</v>
      </c>
      <c r="I45">
        <v>2391</v>
      </c>
      <c r="J45">
        <v>81</v>
      </c>
      <c r="K45" t="s">
        <v>1595</v>
      </c>
      <c r="L45" t="s">
        <v>1598</v>
      </c>
      <c r="M45" t="str">
        <f>IF(Table1[[#This Row],[Quantity]]&gt;2,"Bulk Order","Normal Order")</f>
        <v>Normal Order</v>
      </c>
      <c r="N45" t="str">
        <f>_xlfn.CONCAT(Table1[[#This Row],[Category]],"-",Table1[[#This Row],[City]])</f>
        <v>Accessories-Mumbai</v>
      </c>
      <c r="O45" t="str">
        <f>LEFT(Table1[[#This Row],[Category]],3)</f>
        <v>Acc</v>
      </c>
      <c r="P45" s="2"/>
    </row>
    <row r="46" spans="1:16" x14ac:dyDescent="0.35">
      <c r="A46" t="s">
        <v>56</v>
      </c>
      <c r="B46" t="s">
        <v>1214</v>
      </c>
      <c r="C46" t="s">
        <v>1226</v>
      </c>
      <c r="D46">
        <v>4732</v>
      </c>
      <c r="E46">
        <v>4</v>
      </c>
      <c r="F46" t="s">
        <v>1270</v>
      </c>
      <c r="G46" t="s">
        <v>1585</v>
      </c>
      <c r="H46" t="s">
        <v>1593</v>
      </c>
      <c r="I46">
        <v>18928</v>
      </c>
      <c r="J46">
        <v>61</v>
      </c>
      <c r="K46" t="s">
        <v>1595</v>
      </c>
      <c r="L46" t="s">
        <v>1597</v>
      </c>
      <c r="M46" t="str">
        <f>IF(Table1[[#This Row],[Quantity]]&gt;2,"Bulk Order","Normal Order")</f>
        <v>Bulk Order</v>
      </c>
      <c r="N46" t="str">
        <f>_xlfn.CONCAT(Table1[[#This Row],[Category]],"-",Table1[[#This Row],[City]])</f>
        <v>Home-Kolkata</v>
      </c>
      <c r="O46" t="str">
        <f>LEFT(Table1[[#This Row],[Category]],3)</f>
        <v>Hom</v>
      </c>
      <c r="P46" s="2"/>
    </row>
    <row r="47" spans="1:16" x14ac:dyDescent="0.35">
      <c r="A47" t="s">
        <v>57</v>
      </c>
      <c r="B47" t="s">
        <v>1213</v>
      </c>
      <c r="C47" t="s">
        <v>1224</v>
      </c>
      <c r="D47">
        <v>2309</v>
      </c>
      <c r="E47">
        <v>3</v>
      </c>
      <c r="F47" t="s">
        <v>1271</v>
      </c>
      <c r="G47" t="s">
        <v>1588</v>
      </c>
      <c r="H47" t="s">
        <v>1592</v>
      </c>
      <c r="I47">
        <v>6927</v>
      </c>
      <c r="J47">
        <v>45</v>
      </c>
      <c r="K47" t="s">
        <v>1595</v>
      </c>
      <c r="L47" t="s">
        <v>1599</v>
      </c>
      <c r="M47" t="str">
        <f>IF(Table1[[#This Row],[Quantity]]&gt;2,"Bulk Order","Normal Order")</f>
        <v>Bulk Order</v>
      </c>
      <c r="N47" t="str">
        <f>_xlfn.CONCAT(Table1[[#This Row],[Category]],"-",Table1[[#This Row],[City]])</f>
        <v>Lifestyle-Delhi</v>
      </c>
      <c r="O47" t="str">
        <f>LEFT(Table1[[#This Row],[Category]],3)</f>
        <v>Lif</v>
      </c>
      <c r="P47" s="2"/>
    </row>
    <row r="48" spans="1:16" x14ac:dyDescent="0.35">
      <c r="A48" t="s">
        <v>58</v>
      </c>
      <c r="B48" t="s">
        <v>1222</v>
      </c>
      <c r="C48" t="s">
        <v>1226</v>
      </c>
      <c r="D48">
        <v>3802</v>
      </c>
      <c r="E48">
        <v>4</v>
      </c>
      <c r="F48" t="s">
        <v>1272</v>
      </c>
      <c r="G48" t="s">
        <v>1584</v>
      </c>
      <c r="H48" t="s">
        <v>1590</v>
      </c>
      <c r="I48">
        <v>15208</v>
      </c>
      <c r="J48">
        <v>38</v>
      </c>
      <c r="K48" t="s">
        <v>1595</v>
      </c>
      <c r="L48" t="s">
        <v>1597</v>
      </c>
      <c r="M48" t="str">
        <f>IF(Table1[[#This Row],[Quantity]]&gt;2,"Bulk Order","Normal Order")</f>
        <v>Bulk Order</v>
      </c>
      <c r="N48" t="str">
        <f>_xlfn.CONCAT(Table1[[#This Row],[Category]],"-",Table1[[#This Row],[City]])</f>
        <v>Home-Chennai</v>
      </c>
      <c r="O48" t="str">
        <f>LEFT(Table1[[#This Row],[Category]],3)</f>
        <v>Hom</v>
      </c>
      <c r="P48" s="2"/>
    </row>
    <row r="49" spans="1:16" x14ac:dyDescent="0.35">
      <c r="A49" t="s">
        <v>59</v>
      </c>
      <c r="B49" t="s">
        <v>1222</v>
      </c>
      <c r="C49" t="s">
        <v>1227</v>
      </c>
      <c r="D49">
        <v>1993</v>
      </c>
      <c r="E49">
        <v>2</v>
      </c>
      <c r="F49" t="s">
        <v>1238</v>
      </c>
      <c r="G49" t="s">
        <v>1588</v>
      </c>
      <c r="H49" t="s">
        <v>1591</v>
      </c>
      <c r="I49">
        <v>3986</v>
      </c>
      <c r="J49">
        <v>49</v>
      </c>
      <c r="K49" t="s">
        <v>1594</v>
      </c>
      <c r="L49" t="s">
        <v>1599</v>
      </c>
      <c r="M49" t="str">
        <f>IF(Table1[[#This Row],[Quantity]]&gt;2,"Bulk Order","Normal Order")</f>
        <v>Normal Order</v>
      </c>
      <c r="N49" t="str">
        <f>_xlfn.CONCAT(Table1[[#This Row],[Category]],"-",Table1[[#This Row],[City]])</f>
        <v>Accessories-Delhi</v>
      </c>
      <c r="O49" t="str">
        <f>LEFT(Table1[[#This Row],[Category]],3)</f>
        <v>Acc</v>
      </c>
      <c r="P49" s="2"/>
    </row>
    <row r="50" spans="1:16" x14ac:dyDescent="0.35">
      <c r="A50" t="s">
        <v>60</v>
      </c>
      <c r="B50" t="s">
        <v>1214</v>
      </c>
      <c r="C50" t="s">
        <v>1224</v>
      </c>
      <c r="D50">
        <v>4683</v>
      </c>
      <c r="E50">
        <v>4</v>
      </c>
      <c r="F50" t="s">
        <v>1273</v>
      </c>
      <c r="G50" t="s">
        <v>1585</v>
      </c>
      <c r="H50" t="s">
        <v>1590</v>
      </c>
      <c r="I50">
        <v>18732</v>
      </c>
      <c r="J50">
        <v>44</v>
      </c>
      <c r="K50" t="s">
        <v>1595</v>
      </c>
      <c r="L50" t="s">
        <v>1599</v>
      </c>
      <c r="M50" t="str">
        <f>IF(Table1[[#This Row],[Quantity]]&gt;2,"Bulk Order","Normal Order")</f>
        <v>Bulk Order</v>
      </c>
      <c r="N50" t="str">
        <f>_xlfn.CONCAT(Table1[[#This Row],[Category]],"-",Table1[[#This Row],[City]])</f>
        <v>Lifestyle-Kolkata</v>
      </c>
      <c r="O50" t="str">
        <f>LEFT(Table1[[#This Row],[Category]],3)</f>
        <v>Lif</v>
      </c>
      <c r="P50" s="2"/>
    </row>
    <row r="51" spans="1:16" x14ac:dyDescent="0.35">
      <c r="A51" t="s">
        <v>61</v>
      </c>
      <c r="B51" t="s">
        <v>1216</v>
      </c>
      <c r="C51" t="s">
        <v>1228</v>
      </c>
      <c r="D51">
        <v>3741</v>
      </c>
      <c r="E51">
        <v>2</v>
      </c>
      <c r="F51" t="s">
        <v>1274</v>
      </c>
      <c r="G51" t="s">
        <v>1585</v>
      </c>
      <c r="H51" t="s">
        <v>1592</v>
      </c>
      <c r="I51">
        <v>7482</v>
      </c>
      <c r="J51">
        <v>99</v>
      </c>
      <c r="K51" t="s">
        <v>1594</v>
      </c>
      <c r="L51" t="s">
        <v>1597</v>
      </c>
      <c r="M51" t="str">
        <f>IF(Table1[[#This Row],[Quantity]]&gt;2,"Bulk Order","Normal Order")</f>
        <v>Normal Order</v>
      </c>
      <c r="N51" t="str">
        <f>_xlfn.CONCAT(Table1[[#This Row],[Category]],"-",Table1[[#This Row],[City]])</f>
        <v>Electronics-Kolkata</v>
      </c>
      <c r="O51" t="str">
        <f>LEFT(Table1[[#This Row],[Category]],3)</f>
        <v>Ele</v>
      </c>
      <c r="P51" s="2"/>
    </row>
    <row r="52" spans="1:16" x14ac:dyDescent="0.35">
      <c r="A52" t="s">
        <v>62</v>
      </c>
      <c r="B52" t="s">
        <v>1221</v>
      </c>
      <c r="C52" t="s">
        <v>1227</v>
      </c>
      <c r="D52">
        <v>4840</v>
      </c>
      <c r="E52">
        <v>4</v>
      </c>
      <c r="F52" t="s">
        <v>1275</v>
      </c>
      <c r="G52" t="s">
        <v>1586</v>
      </c>
      <c r="H52" t="s">
        <v>1593</v>
      </c>
      <c r="I52">
        <v>19360</v>
      </c>
      <c r="J52">
        <v>25</v>
      </c>
      <c r="K52" t="s">
        <v>1595</v>
      </c>
      <c r="L52" t="s">
        <v>1599</v>
      </c>
      <c r="M52" t="str">
        <f>IF(Table1[[#This Row],[Quantity]]&gt;2,"Bulk Order","Normal Order")</f>
        <v>Bulk Order</v>
      </c>
      <c r="N52" t="str">
        <f>_xlfn.CONCAT(Table1[[#This Row],[Category]],"-",Table1[[#This Row],[City]])</f>
        <v>Accessories-Hyderabad</v>
      </c>
      <c r="O52" t="str">
        <f>LEFT(Table1[[#This Row],[Category]],3)</f>
        <v>Acc</v>
      </c>
      <c r="P52" s="2"/>
    </row>
    <row r="53" spans="1:16" x14ac:dyDescent="0.35">
      <c r="A53" t="s">
        <v>63</v>
      </c>
      <c r="B53" t="s">
        <v>1213</v>
      </c>
      <c r="C53" t="s">
        <v>1226</v>
      </c>
      <c r="D53">
        <v>4681</v>
      </c>
      <c r="E53">
        <v>2</v>
      </c>
      <c r="F53" t="s">
        <v>1276</v>
      </c>
      <c r="G53" t="s">
        <v>1588</v>
      </c>
      <c r="H53" t="s">
        <v>1591</v>
      </c>
      <c r="I53">
        <v>9362</v>
      </c>
      <c r="J53">
        <v>29</v>
      </c>
      <c r="K53" t="s">
        <v>1596</v>
      </c>
      <c r="L53" t="s">
        <v>1599</v>
      </c>
      <c r="M53" t="str">
        <f>IF(Table1[[#This Row],[Quantity]]&gt;2,"Bulk Order","Normal Order")</f>
        <v>Normal Order</v>
      </c>
      <c r="N53" t="str">
        <f>_xlfn.CONCAT(Table1[[#This Row],[Category]],"-",Table1[[#This Row],[City]])</f>
        <v>Home-Delhi</v>
      </c>
      <c r="O53" t="str">
        <f>LEFT(Table1[[#This Row],[Category]],3)</f>
        <v>Hom</v>
      </c>
      <c r="P53" s="2"/>
    </row>
    <row r="54" spans="1:16" x14ac:dyDescent="0.35">
      <c r="A54" t="s">
        <v>64</v>
      </c>
      <c r="B54" t="s">
        <v>1218</v>
      </c>
      <c r="C54" t="s">
        <v>1227</v>
      </c>
      <c r="D54">
        <v>1165</v>
      </c>
      <c r="E54">
        <v>4</v>
      </c>
      <c r="F54" t="s">
        <v>1277</v>
      </c>
      <c r="G54" t="s">
        <v>1586</v>
      </c>
      <c r="H54" t="s">
        <v>1591</v>
      </c>
      <c r="I54">
        <v>4660</v>
      </c>
      <c r="J54">
        <v>93</v>
      </c>
      <c r="K54" t="s">
        <v>1595</v>
      </c>
      <c r="L54" t="s">
        <v>1599</v>
      </c>
      <c r="M54" t="str">
        <f>IF(Table1[[#This Row],[Quantity]]&gt;2,"Bulk Order","Normal Order")</f>
        <v>Bulk Order</v>
      </c>
      <c r="N54" t="str">
        <f>_xlfn.CONCAT(Table1[[#This Row],[Category]],"-",Table1[[#This Row],[City]])</f>
        <v>Accessories-Hyderabad</v>
      </c>
      <c r="O54" t="str">
        <f>LEFT(Table1[[#This Row],[Category]],3)</f>
        <v>Acc</v>
      </c>
      <c r="P54" s="2"/>
    </row>
    <row r="55" spans="1:16" x14ac:dyDescent="0.35">
      <c r="A55" t="s">
        <v>65</v>
      </c>
      <c r="B55" t="s">
        <v>1217</v>
      </c>
      <c r="C55" t="s">
        <v>1226</v>
      </c>
      <c r="D55">
        <v>2907</v>
      </c>
      <c r="E55">
        <v>1</v>
      </c>
      <c r="F55" t="s">
        <v>1278</v>
      </c>
      <c r="G55" t="s">
        <v>1586</v>
      </c>
      <c r="H55" t="s">
        <v>1591</v>
      </c>
      <c r="I55">
        <v>2907</v>
      </c>
      <c r="J55">
        <v>96</v>
      </c>
      <c r="K55" t="s">
        <v>1595</v>
      </c>
      <c r="L55" t="s">
        <v>1597</v>
      </c>
      <c r="M55" t="str">
        <f>IF(Table1[[#This Row],[Quantity]]&gt;2,"Bulk Order","Normal Order")</f>
        <v>Normal Order</v>
      </c>
      <c r="N55" t="str">
        <f>_xlfn.CONCAT(Table1[[#This Row],[Category]],"-",Table1[[#This Row],[City]])</f>
        <v>Home-Hyderabad</v>
      </c>
      <c r="O55" t="str">
        <f>LEFT(Table1[[#This Row],[Category]],3)</f>
        <v>Hom</v>
      </c>
      <c r="P55" s="2"/>
    </row>
    <row r="56" spans="1:16" x14ac:dyDescent="0.35">
      <c r="A56" t="s">
        <v>66</v>
      </c>
      <c r="B56" t="s">
        <v>1216</v>
      </c>
      <c r="C56" t="s">
        <v>1228</v>
      </c>
      <c r="D56">
        <v>2905</v>
      </c>
      <c r="E56">
        <v>3</v>
      </c>
      <c r="F56" t="s">
        <v>1279</v>
      </c>
      <c r="G56" t="s">
        <v>1586</v>
      </c>
      <c r="H56" t="s">
        <v>1593</v>
      </c>
      <c r="I56">
        <v>8715</v>
      </c>
      <c r="J56">
        <v>53</v>
      </c>
      <c r="K56" t="s">
        <v>1595</v>
      </c>
      <c r="L56" t="s">
        <v>1599</v>
      </c>
      <c r="M56" t="str">
        <f>IF(Table1[[#This Row],[Quantity]]&gt;2,"Bulk Order","Normal Order")</f>
        <v>Bulk Order</v>
      </c>
      <c r="N56" t="str">
        <f>_xlfn.CONCAT(Table1[[#This Row],[Category]],"-",Table1[[#This Row],[City]])</f>
        <v>Electronics-Hyderabad</v>
      </c>
      <c r="O56" t="str">
        <f>LEFT(Table1[[#This Row],[Category]],3)</f>
        <v>Ele</v>
      </c>
      <c r="P56" s="2"/>
    </row>
    <row r="57" spans="1:16" x14ac:dyDescent="0.35">
      <c r="A57" t="s">
        <v>67</v>
      </c>
      <c r="B57" t="s">
        <v>1219</v>
      </c>
      <c r="C57" t="s">
        <v>1228</v>
      </c>
      <c r="D57">
        <v>1377</v>
      </c>
      <c r="E57">
        <v>1</v>
      </c>
      <c r="F57" t="s">
        <v>1280</v>
      </c>
      <c r="G57" t="s">
        <v>1589</v>
      </c>
      <c r="H57" t="s">
        <v>1592</v>
      </c>
      <c r="I57">
        <v>1377</v>
      </c>
      <c r="J57">
        <v>53</v>
      </c>
      <c r="K57" t="s">
        <v>1595</v>
      </c>
      <c r="L57" t="s">
        <v>1598</v>
      </c>
      <c r="M57" t="str">
        <f>IF(Table1[[#This Row],[Quantity]]&gt;2,"Bulk Order","Normal Order")</f>
        <v>Normal Order</v>
      </c>
      <c r="N57" t="str">
        <f>_xlfn.CONCAT(Table1[[#This Row],[Category]],"-",Table1[[#This Row],[City]])</f>
        <v>Electronics-Bangalore</v>
      </c>
      <c r="O57" t="str">
        <f>LEFT(Table1[[#This Row],[Category]],3)</f>
        <v>Ele</v>
      </c>
      <c r="P57" s="2"/>
    </row>
    <row r="58" spans="1:16" x14ac:dyDescent="0.35">
      <c r="A58" t="s">
        <v>68</v>
      </c>
      <c r="B58" t="s">
        <v>1218</v>
      </c>
      <c r="C58" t="s">
        <v>1224</v>
      </c>
      <c r="D58">
        <v>3046</v>
      </c>
      <c r="E58">
        <v>2</v>
      </c>
      <c r="F58" t="s">
        <v>1281</v>
      </c>
      <c r="G58" t="s">
        <v>1585</v>
      </c>
      <c r="H58" t="s">
        <v>1590</v>
      </c>
      <c r="I58">
        <v>6092</v>
      </c>
      <c r="J58">
        <v>89</v>
      </c>
      <c r="K58" t="s">
        <v>1594</v>
      </c>
      <c r="L58" t="s">
        <v>1597</v>
      </c>
      <c r="M58" t="str">
        <f>IF(Table1[[#This Row],[Quantity]]&gt;2,"Bulk Order","Normal Order")</f>
        <v>Normal Order</v>
      </c>
      <c r="N58" t="str">
        <f>_xlfn.CONCAT(Table1[[#This Row],[Category]],"-",Table1[[#This Row],[City]])</f>
        <v>Lifestyle-Kolkata</v>
      </c>
      <c r="O58" t="str">
        <f>LEFT(Table1[[#This Row],[Category]],3)</f>
        <v>Lif</v>
      </c>
      <c r="P58" s="2"/>
    </row>
    <row r="59" spans="1:16" x14ac:dyDescent="0.35">
      <c r="A59" t="s">
        <v>69</v>
      </c>
      <c r="B59" t="s">
        <v>1220</v>
      </c>
      <c r="C59" t="s">
        <v>1228</v>
      </c>
      <c r="D59">
        <v>3935</v>
      </c>
      <c r="E59">
        <v>3</v>
      </c>
      <c r="F59" t="s">
        <v>1282</v>
      </c>
      <c r="G59" t="s">
        <v>1585</v>
      </c>
      <c r="H59" t="s">
        <v>1592</v>
      </c>
      <c r="I59">
        <v>11805</v>
      </c>
      <c r="J59">
        <v>64</v>
      </c>
      <c r="K59" t="s">
        <v>1595</v>
      </c>
      <c r="L59" t="s">
        <v>1597</v>
      </c>
      <c r="M59" t="str">
        <f>IF(Table1[[#This Row],[Quantity]]&gt;2,"Bulk Order","Normal Order")</f>
        <v>Bulk Order</v>
      </c>
      <c r="N59" t="str">
        <f>_xlfn.CONCAT(Table1[[#This Row],[Category]],"-",Table1[[#This Row],[City]])</f>
        <v>Electronics-Kolkata</v>
      </c>
      <c r="O59" t="str">
        <f>LEFT(Table1[[#This Row],[Category]],3)</f>
        <v>Ele</v>
      </c>
      <c r="P59" s="2"/>
    </row>
    <row r="60" spans="1:16" x14ac:dyDescent="0.35">
      <c r="A60" t="s">
        <v>70</v>
      </c>
      <c r="B60" t="s">
        <v>1221</v>
      </c>
      <c r="C60" t="s">
        <v>1224</v>
      </c>
      <c r="D60">
        <v>3912</v>
      </c>
      <c r="E60">
        <v>1</v>
      </c>
      <c r="F60" t="s">
        <v>1283</v>
      </c>
      <c r="G60" t="s">
        <v>1585</v>
      </c>
      <c r="H60" t="s">
        <v>1593</v>
      </c>
      <c r="I60">
        <v>3912</v>
      </c>
      <c r="J60">
        <v>80</v>
      </c>
      <c r="K60" t="s">
        <v>1596</v>
      </c>
      <c r="L60" t="s">
        <v>1597</v>
      </c>
      <c r="M60" t="str">
        <f>IF(Table1[[#This Row],[Quantity]]&gt;2,"Bulk Order","Normal Order")</f>
        <v>Normal Order</v>
      </c>
      <c r="N60" t="str">
        <f>_xlfn.CONCAT(Table1[[#This Row],[Category]],"-",Table1[[#This Row],[City]])</f>
        <v>Lifestyle-Kolkata</v>
      </c>
      <c r="O60" t="str">
        <f>LEFT(Table1[[#This Row],[Category]],3)</f>
        <v>Lif</v>
      </c>
      <c r="P60" s="2"/>
    </row>
    <row r="61" spans="1:16" x14ac:dyDescent="0.35">
      <c r="A61" t="s">
        <v>71</v>
      </c>
      <c r="B61" t="s">
        <v>1213</v>
      </c>
      <c r="C61" t="s">
        <v>1225</v>
      </c>
      <c r="D61">
        <v>657</v>
      </c>
      <c r="E61">
        <v>4</v>
      </c>
      <c r="F61" t="s">
        <v>1237</v>
      </c>
      <c r="G61" t="s">
        <v>1588</v>
      </c>
      <c r="H61" t="s">
        <v>1592</v>
      </c>
      <c r="I61">
        <v>2628</v>
      </c>
      <c r="J61">
        <v>36</v>
      </c>
      <c r="K61" t="s">
        <v>1595</v>
      </c>
      <c r="L61" t="s">
        <v>1598</v>
      </c>
      <c r="M61" t="str">
        <f>IF(Table1[[#This Row],[Quantity]]&gt;2,"Bulk Order","Normal Order")</f>
        <v>Bulk Order</v>
      </c>
      <c r="N61" t="str">
        <f>_xlfn.CONCAT(Table1[[#This Row],[Category]],"-",Table1[[#This Row],[City]])</f>
        <v>Fitness-Delhi</v>
      </c>
      <c r="O61" t="str">
        <f>LEFT(Table1[[#This Row],[Category]],3)</f>
        <v>Fit</v>
      </c>
      <c r="P61" s="2"/>
    </row>
    <row r="62" spans="1:16" x14ac:dyDescent="0.35">
      <c r="A62" t="s">
        <v>72</v>
      </c>
      <c r="B62" t="s">
        <v>1216</v>
      </c>
      <c r="C62" t="s">
        <v>1225</v>
      </c>
      <c r="D62">
        <v>2980</v>
      </c>
      <c r="E62">
        <v>2</v>
      </c>
      <c r="F62" t="s">
        <v>1284</v>
      </c>
      <c r="G62" t="s">
        <v>1584</v>
      </c>
      <c r="H62" t="s">
        <v>1593</v>
      </c>
      <c r="I62">
        <v>5960</v>
      </c>
      <c r="J62">
        <v>66</v>
      </c>
      <c r="K62" t="s">
        <v>1594</v>
      </c>
      <c r="L62" t="s">
        <v>1598</v>
      </c>
      <c r="M62" t="str">
        <f>IF(Table1[[#This Row],[Quantity]]&gt;2,"Bulk Order","Normal Order")</f>
        <v>Normal Order</v>
      </c>
      <c r="N62" t="str">
        <f>_xlfn.CONCAT(Table1[[#This Row],[Category]],"-",Table1[[#This Row],[City]])</f>
        <v>Fitness-Chennai</v>
      </c>
      <c r="O62" t="str">
        <f>LEFT(Table1[[#This Row],[Category]],3)</f>
        <v>Fit</v>
      </c>
      <c r="P62" s="2"/>
    </row>
    <row r="63" spans="1:16" x14ac:dyDescent="0.35">
      <c r="A63" t="s">
        <v>73</v>
      </c>
      <c r="B63" t="s">
        <v>1215</v>
      </c>
      <c r="C63" t="s">
        <v>1224</v>
      </c>
      <c r="D63">
        <v>3955</v>
      </c>
      <c r="E63">
        <v>2</v>
      </c>
      <c r="F63" t="s">
        <v>1269</v>
      </c>
      <c r="G63" t="s">
        <v>1585</v>
      </c>
      <c r="H63" t="s">
        <v>1590</v>
      </c>
      <c r="I63">
        <v>7910</v>
      </c>
      <c r="J63">
        <v>97</v>
      </c>
      <c r="K63" t="s">
        <v>1595</v>
      </c>
      <c r="L63" t="s">
        <v>1599</v>
      </c>
      <c r="M63" t="str">
        <f>IF(Table1[[#This Row],[Quantity]]&gt;2,"Bulk Order","Normal Order")</f>
        <v>Normal Order</v>
      </c>
      <c r="N63" t="str">
        <f>_xlfn.CONCAT(Table1[[#This Row],[Category]],"-",Table1[[#This Row],[City]])</f>
        <v>Lifestyle-Kolkata</v>
      </c>
      <c r="O63" t="str">
        <f>LEFT(Table1[[#This Row],[Category]],3)</f>
        <v>Lif</v>
      </c>
      <c r="P63" s="2"/>
    </row>
    <row r="64" spans="1:16" x14ac:dyDescent="0.35">
      <c r="A64" t="s">
        <v>74</v>
      </c>
      <c r="B64" t="s">
        <v>1221</v>
      </c>
      <c r="C64" t="s">
        <v>1227</v>
      </c>
      <c r="D64">
        <v>3002</v>
      </c>
      <c r="E64">
        <v>4</v>
      </c>
      <c r="F64" t="s">
        <v>1285</v>
      </c>
      <c r="G64" t="s">
        <v>1588</v>
      </c>
      <c r="H64" t="s">
        <v>1593</v>
      </c>
      <c r="I64">
        <v>12008</v>
      </c>
      <c r="J64">
        <v>41</v>
      </c>
      <c r="K64" t="s">
        <v>1595</v>
      </c>
      <c r="L64" t="s">
        <v>1599</v>
      </c>
      <c r="M64" t="str">
        <f>IF(Table1[[#This Row],[Quantity]]&gt;2,"Bulk Order","Normal Order")</f>
        <v>Bulk Order</v>
      </c>
      <c r="N64" t="str">
        <f>_xlfn.CONCAT(Table1[[#This Row],[Category]],"-",Table1[[#This Row],[City]])</f>
        <v>Accessories-Delhi</v>
      </c>
      <c r="O64" t="str">
        <f>LEFT(Table1[[#This Row],[Category]],3)</f>
        <v>Acc</v>
      </c>
      <c r="P64" s="2"/>
    </row>
    <row r="65" spans="1:16" x14ac:dyDescent="0.35">
      <c r="A65" t="s">
        <v>75</v>
      </c>
      <c r="B65" t="s">
        <v>1215</v>
      </c>
      <c r="C65" t="s">
        <v>1224</v>
      </c>
      <c r="D65">
        <v>4860</v>
      </c>
      <c r="E65">
        <v>2</v>
      </c>
      <c r="F65" t="s">
        <v>1286</v>
      </c>
      <c r="G65" t="s">
        <v>1588</v>
      </c>
      <c r="H65" t="s">
        <v>1592</v>
      </c>
      <c r="I65">
        <v>9720</v>
      </c>
      <c r="J65">
        <v>49</v>
      </c>
      <c r="K65" t="s">
        <v>1595</v>
      </c>
      <c r="L65" t="s">
        <v>1599</v>
      </c>
      <c r="M65" t="str">
        <f>IF(Table1[[#This Row],[Quantity]]&gt;2,"Bulk Order","Normal Order")</f>
        <v>Normal Order</v>
      </c>
      <c r="N65" t="str">
        <f>_xlfn.CONCAT(Table1[[#This Row],[Category]],"-",Table1[[#This Row],[City]])</f>
        <v>Lifestyle-Delhi</v>
      </c>
      <c r="O65" t="str">
        <f>LEFT(Table1[[#This Row],[Category]],3)</f>
        <v>Lif</v>
      </c>
      <c r="P65" s="2"/>
    </row>
    <row r="66" spans="1:16" x14ac:dyDescent="0.35">
      <c r="A66" t="s">
        <v>76</v>
      </c>
      <c r="B66" t="s">
        <v>1215</v>
      </c>
      <c r="C66" t="s">
        <v>1226</v>
      </c>
      <c r="D66">
        <v>760</v>
      </c>
      <c r="E66">
        <v>2</v>
      </c>
      <c r="F66" t="s">
        <v>1287</v>
      </c>
      <c r="G66" t="s">
        <v>1584</v>
      </c>
      <c r="H66" t="s">
        <v>1591</v>
      </c>
      <c r="I66">
        <v>1520</v>
      </c>
      <c r="J66">
        <v>70</v>
      </c>
      <c r="K66" t="s">
        <v>1595</v>
      </c>
      <c r="L66" t="s">
        <v>1599</v>
      </c>
      <c r="M66" t="str">
        <f>IF(Table1[[#This Row],[Quantity]]&gt;2,"Bulk Order","Normal Order")</f>
        <v>Normal Order</v>
      </c>
      <c r="N66" t="str">
        <f>_xlfn.CONCAT(Table1[[#This Row],[Category]],"-",Table1[[#This Row],[City]])</f>
        <v>Home-Chennai</v>
      </c>
      <c r="O66" t="str">
        <f>LEFT(Table1[[#This Row],[Category]],3)</f>
        <v>Hom</v>
      </c>
      <c r="P66" s="2"/>
    </row>
    <row r="67" spans="1:16" x14ac:dyDescent="0.35">
      <c r="A67" t="s">
        <v>77</v>
      </c>
      <c r="B67" t="s">
        <v>1221</v>
      </c>
      <c r="C67" t="s">
        <v>1227</v>
      </c>
      <c r="D67">
        <v>511</v>
      </c>
      <c r="E67">
        <v>4</v>
      </c>
      <c r="F67" t="s">
        <v>1288</v>
      </c>
      <c r="G67" t="s">
        <v>1588</v>
      </c>
      <c r="H67" t="s">
        <v>1591</v>
      </c>
      <c r="I67">
        <v>2044</v>
      </c>
      <c r="J67">
        <v>32</v>
      </c>
      <c r="K67" t="s">
        <v>1595</v>
      </c>
      <c r="L67" t="s">
        <v>1597</v>
      </c>
      <c r="M67" t="str">
        <f>IF(Table1[[#This Row],[Quantity]]&gt;2,"Bulk Order","Normal Order")</f>
        <v>Bulk Order</v>
      </c>
      <c r="N67" t="str">
        <f>_xlfn.CONCAT(Table1[[#This Row],[Category]],"-",Table1[[#This Row],[City]])</f>
        <v>Accessories-Delhi</v>
      </c>
      <c r="O67" t="str">
        <f>LEFT(Table1[[#This Row],[Category]],3)</f>
        <v>Acc</v>
      </c>
      <c r="P67" s="2"/>
    </row>
    <row r="68" spans="1:16" x14ac:dyDescent="0.35">
      <c r="A68" t="s">
        <v>78</v>
      </c>
      <c r="B68" t="s">
        <v>1218</v>
      </c>
      <c r="C68" t="s">
        <v>1227</v>
      </c>
      <c r="D68">
        <v>2748</v>
      </c>
      <c r="E68">
        <v>4</v>
      </c>
      <c r="F68" t="s">
        <v>1289</v>
      </c>
      <c r="G68" t="s">
        <v>1585</v>
      </c>
      <c r="H68" t="s">
        <v>1590</v>
      </c>
      <c r="I68">
        <v>10992</v>
      </c>
      <c r="J68">
        <v>21</v>
      </c>
      <c r="K68" t="s">
        <v>1595</v>
      </c>
      <c r="L68" t="s">
        <v>1598</v>
      </c>
      <c r="M68" t="str">
        <f>IF(Table1[[#This Row],[Quantity]]&gt;2,"Bulk Order","Normal Order")</f>
        <v>Bulk Order</v>
      </c>
      <c r="N68" t="str">
        <f>_xlfn.CONCAT(Table1[[#This Row],[Category]],"-",Table1[[#This Row],[City]])</f>
        <v>Accessories-Kolkata</v>
      </c>
      <c r="O68" t="str">
        <f>LEFT(Table1[[#This Row],[Category]],3)</f>
        <v>Acc</v>
      </c>
      <c r="P68" s="2"/>
    </row>
    <row r="69" spans="1:16" x14ac:dyDescent="0.35">
      <c r="A69" t="s">
        <v>79</v>
      </c>
      <c r="B69" t="s">
        <v>1221</v>
      </c>
      <c r="C69" t="s">
        <v>1226</v>
      </c>
      <c r="D69">
        <v>4585</v>
      </c>
      <c r="E69">
        <v>3</v>
      </c>
      <c r="F69" t="s">
        <v>1290</v>
      </c>
      <c r="G69" t="s">
        <v>1589</v>
      </c>
      <c r="H69" t="s">
        <v>1590</v>
      </c>
      <c r="I69">
        <v>13755</v>
      </c>
      <c r="J69">
        <v>29</v>
      </c>
      <c r="K69" t="s">
        <v>1595</v>
      </c>
      <c r="L69" t="s">
        <v>1598</v>
      </c>
      <c r="M69" t="str">
        <f>IF(Table1[[#This Row],[Quantity]]&gt;2,"Bulk Order","Normal Order")</f>
        <v>Bulk Order</v>
      </c>
      <c r="N69" t="str">
        <f>_xlfn.CONCAT(Table1[[#This Row],[Category]],"-",Table1[[#This Row],[City]])</f>
        <v>Home-Bangalore</v>
      </c>
      <c r="O69" t="str">
        <f>LEFT(Table1[[#This Row],[Category]],3)</f>
        <v>Hom</v>
      </c>
      <c r="P69" s="2"/>
    </row>
    <row r="70" spans="1:16" x14ac:dyDescent="0.35">
      <c r="A70" t="s">
        <v>80</v>
      </c>
      <c r="B70" t="s">
        <v>1217</v>
      </c>
      <c r="C70" t="s">
        <v>1227</v>
      </c>
      <c r="D70">
        <v>788</v>
      </c>
      <c r="E70">
        <v>1</v>
      </c>
      <c r="F70" t="s">
        <v>1249</v>
      </c>
      <c r="G70" t="s">
        <v>1584</v>
      </c>
      <c r="H70" t="s">
        <v>1590</v>
      </c>
      <c r="I70">
        <v>788</v>
      </c>
      <c r="J70">
        <v>83</v>
      </c>
      <c r="K70" t="s">
        <v>1594</v>
      </c>
      <c r="L70" t="s">
        <v>1598</v>
      </c>
      <c r="M70" t="str">
        <f>IF(Table1[[#This Row],[Quantity]]&gt;2,"Bulk Order","Normal Order")</f>
        <v>Normal Order</v>
      </c>
      <c r="N70" t="str">
        <f>_xlfn.CONCAT(Table1[[#This Row],[Category]],"-",Table1[[#This Row],[City]])</f>
        <v>Accessories-Chennai</v>
      </c>
      <c r="O70" t="str">
        <f>LEFT(Table1[[#This Row],[Category]],3)</f>
        <v>Acc</v>
      </c>
      <c r="P70" s="2"/>
    </row>
    <row r="71" spans="1:16" x14ac:dyDescent="0.35">
      <c r="A71" t="s">
        <v>81</v>
      </c>
      <c r="B71" t="s">
        <v>1219</v>
      </c>
      <c r="C71" t="s">
        <v>1225</v>
      </c>
      <c r="D71">
        <v>2191</v>
      </c>
      <c r="E71">
        <v>3</v>
      </c>
      <c r="F71" t="s">
        <v>1291</v>
      </c>
      <c r="G71" t="s">
        <v>1588</v>
      </c>
      <c r="H71" t="s">
        <v>1593</v>
      </c>
      <c r="I71">
        <v>6573</v>
      </c>
      <c r="J71">
        <v>36</v>
      </c>
      <c r="K71" t="s">
        <v>1595</v>
      </c>
      <c r="L71" t="s">
        <v>1597</v>
      </c>
      <c r="M71" t="str">
        <f>IF(Table1[[#This Row],[Quantity]]&gt;2,"Bulk Order","Normal Order")</f>
        <v>Bulk Order</v>
      </c>
      <c r="N71" t="str">
        <f>_xlfn.CONCAT(Table1[[#This Row],[Category]],"-",Table1[[#This Row],[City]])</f>
        <v>Fitness-Delhi</v>
      </c>
      <c r="O71" t="str">
        <f>LEFT(Table1[[#This Row],[Category]],3)</f>
        <v>Fit</v>
      </c>
      <c r="P71" s="2"/>
    </row>
    <row r="72" spans="1:16" x14ac:dyDescent="0.35">
      <c r="A72" t="s">
        <v>82</v>
      </c>
      <c r="B72" t="s">
        <v>1216</v>
      </c>
      <c r="C72" t="s">
        <v>1225</v>
      </c>
      <c r="D72">
        <v>1048</v>
      </c>
      <c r="E72">
        <v>3</v>
      </c>
      <c r="F72" t="s">
        <v>1292</v>
      </c>
      <c r="G72" t="s">
        <v>1585</v>
      </c>
      <c r="H72" t="s">
        <v>1591</v>
      </c>
      <c r="I72">
        <v>3144</v>
      </c>
      <c r="J72">
        <v>100</v>
      </c>
      <c r="K72" t="s">
        <v>1595</v>
      </c>
      <c r="L72" t="s">
        <v>1599</v>
      </c>
      <c r="M72" t="str">
        <f>IF(Table1[[#This Row],[Quantity]]&gt;2,"Bulk Order","Normal Order")</f>
        <v>Bulk Order</v>
      </c>
      <c r="N72" t="str">
        <f>_xlfn.CONCAT(Table1[[#This Row],[Category]],"-",Table1[[#This Row],[City]])</f>
        <v>Fitness-Kolkata</v>
      </c>
      <c r="O72" t="str">
        <f>LEFT(Table1[[#This Row],[Category]],3)</f>
        <v>Fit</v>
      </c>
      <c r="P72" s="2"/>
    </row>
    <row r="73" spans="1:16" x14ac:dyDescent="0.35">
      <c r="A73" t="s">
        <v>83</v>
      </c>
      <c r="B73" t="s">
        <v>1212</v>
      </c>
      <c r="C73" t="s">
        <v>1226</v>
      </c>
      <c r="D73">
        <v>1994</v>
      </c>
      <c r="E73">
        <v>2</v>
      </c>
      <c r="F73" t="s">
        <v>1293</v>
      </c>
      <c r="G73" t="s">
        <v>1586</v>
      </c>
      <c r="H73" t="s">
        <v>1592</v>
      </c>
      <c r="I73">
        <v>3988</v>
      </c>
      <c r="J73">
        <v>100</v>
      </c>
      <c r="K73" t="s">
        <v>1595</v>
      </c>
      <c r="L73" t="s">
        <v>1598</v>
      </c>
      <c r="M73" t="str">
        <f>IF(Table1[[#This Row],[Quantity]]&gt;2,"Bulk Order","Normal Order")</f>
        <v>Normal Order</v>
      </c>
      <c r="N73" t="str">
        <f>_xlfn.CONCAT(Table1[[#This Row],[Category]],"-",Table1[[#This Row],[City]])</f>
        <v>Home-Hyderabad</v>
      </c>
      <c r="O73" t="str">
        <f>LEFT(Table1[[#This Row],[Category]],3)</f>
        <v>Hom</v>
      </c>
      <c r="P73" s="2"/>
    </row>
    <row r="74" spans="1:16" x14ac:dyDescent="0.35">
      <c r="A74" t="s">
        <v>84</v>
      </c>
      <c r="B74" t="s">
        <v>1212</v>
      </c>
      <c r="C74" t="s">
        <v>1226</v>
      </c>
      <c r="D74">
        <v>230</v>
      </c>
      <c r="E74">
        <v>2</v>
      </c>
      <c r="F74" t="s">
        <v>1294</v>
      </c>
      <c r="G74" t="s">
        <v>1587</v>
      </c>
      <c r="H74" t="s">
        <v>1592</v>
      </c>
      <c r="I74">
        <v>460</v>
      </c>
      <c r="J74">
        <v>20</v>
      </c>
      <c r="K74" t="s">
        <v>1594</v>
      </c>
      <c r="L74" t="s">
        <v>1598</v>
      </c>
      <c r="M74" t="str">
        <f>IF(Table1[[#This Row],[Quantity]]&gt;2,"Bulk Order","Normal Order")</f>
        <v>Normal Order</v>
      </c>
      <c r="N74" t="str">
        <f>_xlfn.CONCAT(Table1[[#This Row],[Category]],"-",Table1[[#This Row],[City]])</f>
        <v>Home-Mumbai</v>
      </c>
      <c r="O74" t="str">
        <f>LEFT(Table1[[#This Row],[Category]],3)</f>
        <v>Hom</v>
      </c>
      <c r="P74" s="2"/>
    </row>
    <row r="75" spans="1:16" x14ac:dyDescent="0.35">
      <c r="A75" t="s">
        <v>85</v>
      </c>
      <c r="B75" t="s">
        <v>1215</v>
      </c>
      <c r="C75" t="s">
        <v>1224</v>
      </c>
      <c r="D75">
        <v>4733</v>
      </c>
      <c r="E75">
        <v>3</v>
      </c>
      <c r="F75" t="s">
        <v>1295</v>
      </c>
      <c r="G75" t="s">
        <v>1589</v>
      </c>
      <c r="H75" t="s">
        <v>1590</v>
      </c>
      <c r="I75">
        <v>14199</v>
      </c>
      <c r="J75">
        <v>85</v>
      </c>
      <c r="K75" t="s">
        <v>1595</v>
      </c>
      <c r="L75" t="s">
        <v>1599</v>
      </c>
      <c r="M75" t="str">
        <f>IF(Table1[[#This Row],[Quantity]]&gt;2,"Bulk Order","Normal Order")</f>
        <v>Bulk Order</v>
      </c>
      <c r="N75" t="str">
        <f>_xlfn.CONCAT(Table1[[#This Row],[Category]],"-",Table1[[#This Row],[City]])</f>
        <v>Lifestyle-Bangalore</v>
      </c>
      <c r="O75" t="str">
        <f>LEFT(Table1[[#This Row],[Category]],3)</f>
        <v>Lif</v>
      </c>
      <c r="P75" s="2"/>
    </row>
    <row r="76" spans="1:16" x14ac:dyDescent="0.35">
      <c r="A76" t="s">
        <v>86</v>
      </c>
      <c r="B76" t="s">
        <v>1212</v>
      </c>
      <c r="C76" t="s">
        <v>1224</v>
      </c>
      <c r="D76">
        <v>3616</v>
      </c>
      <c r="E76">
        <v>2</v>
      </c>
      <c r="F76" t="s">
        <v>1296</v>
      </c>
      <c r="G76" t="s">
        <v>1587</v>
      </c>
      <c r="H76" t="s">
        <v>1590</v>
      </c>
      <c r="I76">
        <v>7232</v>
      </c>
      <c r="J76">
        <v>81</v>
      </c>
      <c r="K76" t="s">
        <v>1595</v>
      </c>
      <c r="L76" t="s">
        <v>1598</v>
      </c>
      <c r="M76" t="str">
        <f>IF(Table1[[#This Row],[Quantity]]&gt;2,"Bulk Order","Normal Order")</f>
        <v>Normal Order</v>
      </c>
      <c r="N76" t="str">
        <f>_xlfn.CONCAT(Table1[[#This Row],[Category]],"-",Table1[[#This Row],[City]])</f>
        <v>Lifestyle-Mumbai</v>
      </c>
      <c r="O76" t="str">
        <f>LEFT(Table1[[#This Row],[Category]],3)</f>
        <v>Lif</v>
      </c>
      <c r="P76" s="2"/>
    </row>
    <row r="77" spans="1:16" x14ac:dyDescent="0.35">
      <c r="A77" t="s">
        <v>87</v>
      </c>
      <c r="B77" t="s">
        <v>1216</v>
      </c>
      <c r="C77" t="s">
        <v>1227</v>
      </c>
      <c r="D77">
        <v>4283</v>
      </c>
      <c r="E77">
        <v>2</v>
      </c>
      <c r="F77" t="s">
        <v>1297</v>
      </c>
      <c r="G77" t="s">
        <v>1586</v>
      </c>
      <c r="H77" t="s">
        <v>1593</v>
      </c>
      <c r="I77">
        <v>8566</v>
      </c>
      <c r="J77">
        <v>42</v>
      </c>
      <c r="K77" t="s">
        <v>1595</v>
      </c>
      <c r="L77" t="s">
        <v>1599</v>
      </c>
      <c r="M77" t="str">
        <f>IF(Table1[[#This Row],[Quantity]]&gt;2,"Bulk Order","Normal Order")</f>
        <v>Normal Order</v>
      </c>
      <c r="N77" t="str">
        <f>_xlfn.CONCAT(Table1[[#This Row],[Category]],"-",Table1[[#This Row],[City]])</f>
        <v>Accessories-Hyderabad</v>
      </c>
      <c r="O77" t="str">
        <f>LEFT(Table1[[#This Row],[Category]],3)</f>
        <v>Acc</v>
      </c>
      <c r="P77" s="2"/>
    </row>
    <row r="78" spans="1:16" x14ac:dyDescent="0.35">
      <c r="A78" t="s">
        <v>88</v>
      </c>
      <c r="B78" t="s">
        <v>1222</v>
      </c>
      <c r="C78" t="s">
        <v>1228</v>
      </c>
      <c r="D78">
        <v>1487</v>
      </c>
      <c r="E78">
        <v>1</v>
      </c>
      <c r="F78" t="s">
        <v>1260</v>
      </c>
      <c r="G78" t="s">
        <v>1586</v>
      </c>
      <c r="H78" t="s">
        <v>1590</v>
      </c>
      <c r="I78">
        <v>1487</v>
      </c>
      <c r="J78">
        <v>53</v>
      </c>
      <c r="K78" t="s">
        <v>1595</v>
      </c>
      <c r="L78" t="s">
        <v>1597</v>
      </c>
      <c r="M78" t="str">
        <f>IF(Table1[[#This Row],[Quantity]]&gt;2,"Bulk Order","Normal Order")</f>
        <v>Normal Order</v>
      </c>
      <c r="N78" t="str">
        <f>_xlfn.CONCAT(Table1[[#This Row],[Category]],"-",Table1[[#This Row],[City]])</f>
        <v>Electronics-Hyderabad</v>
      </c>
      <c r="O78" t="str">
        <f>LEFT(Table1[[#This Row],[Category]],3)</f>
        <v>Ele</v>
      </c>
      <c r="P78" s="2"/>
    </row>
    <row r="79" spans="1:16" x14ac:dyDescent="0.35">
      <c r="A79" t="s">
        <v>89</v>
      </c>
      <c r="B79" t="s">
        <v>1213</v>
      </c>
      <c r="C79" t="s">
        <v>1228</v>
      </c>
      <c r="D79">
        <v>1594</v>
      </c>
      <c r="E79">
        <v>3</v>
      </c>
      <c r="F79" t="s">
        <v>1298</v>
      </c>
      <c r="G79" t="s">
        <v>1584</v>
      </c>
      <c r="H79" t="s">
        <v>1593</v>
      </c>
      <c r="I79">
        <v>4782</v>
      </c>
      <c r="J79">
        <v>82</v>
      </c>
      <c r="K79" t="s">
        <v>1595</v>
      </c>
      <c r="L79" t="s">
        <v>1597</v>
      </c>
      <c r="M79" t="str">
        <f>IF(Table1[[#This Row],[Quantity]]&gt;2,"Bulk Order","Normal Order")</f>
        <v>Bulk Order</v>
      </c>
      <c r="N79" t="str">
        <f>_xlfn.CONCAT(Table1[[#This Row],[Category]],"-",Table1[[#This Row],[City]])</f>
        <v>Electronics-Chennai</v>
      </c>
      <c r="O79" t="str">
        <f>LEFT(Table1[[#This Row],[Category]],3)</f>
        <v>Ele</v>
      </c>
      <c r="P79" s="2"/>
    </row>
    <row r="80" spans="1:16" x14ac:dyDescent="0.35">
      <c r="A80" t="s">
        <v>90</v>
      </c>
      <c r="B80" t="s">
        <v>1212</v>
      </c>
      <c r="C80" t="s">
        <v>1225</v>
      </c>
      <c r="D80">
        <v>3589</v>
      </c>
      <c r="E80">
        <v>3</v>
      </c>
      <c r="F80" t="s">
        <v>1299</v>
      </c>
      <c r="G80" t="s">
        <v>1584</v>
      </c>
      <c r="H80" t="s">
        <v>1590</v>
      </c>
      <c r="I80">
        <v>10767</v>
      </c>
      <c r="J80">
        <v>48</v>
      </c>
      <c r="K80" t="s">
        <v>1595</v>
      </c>
      <c r="L80" t="s">
        <v>1599</v>
      </c>
      <c r="M80" t="str">
        <f>IF(Table1[[#This Row],[Quantity]]&gt;2,"Bulk Order","Normal Order")</f>
        <v>Bulk Order</v>
      </c>
      <c r="N80" t="str">
        <f>_xlfn.CONCAT(Table1[[#This Row],[Category]],"-",Table1[[#This Row],[City]])</f>
        <v>Fitness-Chennai</v>
      </c>
      <c r="O80" t="str">
        <f>LEFT(Table1[[#This Row],[Category]],3)</f>
        <v>Fit</v>
      </c>
      <c r="P80" s="2"/>
    </row>
    <row r="81" spans="1:16" x14ac:dyDescent="0.35">
      <c r="A81" t="s">
        <v>91</v>
      </c>
      <c r="B81" t="s">
        <v>1212</v>
      </c>
      <c r="C81" t="s">
        <v>1228</v>
      </c>
      <c r="D81">
        <v>2748</v>
      </c>
      <c r="E81">
        <v>2</v>
      </c>
      <c r="F81" t="s">
        <v>1300</v>
      </c>
      <c r="G81" t="s">
        <v>1585</v>
      </c>
      <c r="H81" t="s">
        <v>1593</v>
      </c>
      <c r="I81">
        <v>5496</v>
      </c>
      <c r="J81">
        <v>24</v>
      </c>
      <c r="K81" t="s">
        <v>1595</v>
      </c>
      <c r="L81" t="s">
        <v>1598</v>
      </c>
      <c r="M81" t="str">
        <f>IF(Table1[[#This Row],[Quantity]]&gt;2,"Bulk Order","Normal Order")</f>
        <v>Normal Order</v>
      </c>
      <c r="N81" t="str">
        <f>_xlfn.CONCAT(Table1[[#This Row],[Category]],"-",Table1[[#This Row],[City]])</f>
        <v>Electronics-Kolkata</v>
      </c>
      <c r="O81" t="str">
        <f>LEFT(Table1[[#This Row],[Category]],3)</f>
        <v>Ele</v>
      </c>
      <c r="P81" s="2"/>
    </row>
    <row r="82" spans="1:16" x14ac:dyDescent="0.35">
      <c r="A82" t="s">
        <v>92</v>
      </c>
      <c r="B82" t="s">
        <v>1223</v>
      </c>
      <c r="C82" t="s">
        <v>1226</v>
      </c>
      <c r="D82">
        <v>4310</v>
      </c>
      <c r="E82">
        <v>4</v>
      </c>
      <c r="F82" t="s">
        <v>1301</v>
      </c>
      <c r="G82" t="s">
        <v>1584</v>
      </c>
      <c r="H82" t="s">
        <v>1592</v>
      </c>
      <c r="I82">
        <v>17240</v>
      </c>
      <c r="J82">
        <v>73</v>
      </c>
      <c r="K82" t="s">
        <v>1595</v>
      </c>
      <c r="L82" t="s">
        <v>1597</v>
      </c>
      <c r="M82" t="str">
        <f>IF(Table1[[#This Row],[Quantity]]&gt;2,"Bulk Order","Normal Order")</f>
        <v>Bulk Order</v>
      </c>
      <c r="N82" t="str">
        <f>_xlfn.CONCAT(Table1[[#This Row],[Category]],"-",Table1[[#This Row],[City]])</f>
        <v>Home-Chennai</v>
      </c>
      <c r="O82" t="str">
        <f>LEFT(Table1[[#This Row],[Category]],3)</f>
        <v>Hom</v>
      </c>
      <c r="P82" s="2"/>
    </row>
    <row r="83" spans="1:16" x14ac:dyDescent="0.35">
      <c r="A83" t="s">
        <v>93</v>
      </c>
      <c r="B83" t="s">
        <v>1219</v>
      </c>
      <c r="C83" t="s">
        <v>1225</v>
      </c>
      <c r="D83">
        <v>4194</v>
      </c>
      <c r="E83">
        <v>1</v>
      </c>
      <c r="F83" t="s">
        <v>1241</v>
      </c>
      <c r="G83" t="s">
        <v>1585</v>
      </c>
      <c r="H83" t="s">
        <v>1592</v>
      </c>
      <c r="I83">
        <v>4194</v>
      </c>
      <c r="J83">
        <v>52</v>
      </c>
      <c r="K83" t="s">
        <v>1594</v>
      </c>
      <c r="L83" t="s">
        <v>1598</v>
      </c>
      <c r="M83" t="str">
        <f>IF(Table1[[#This Row],[Quantity]]&gt;2,"Bulk Order","Normal Order")</f>
        <v>Normal Order</v>
      </c>
      <c r="N83" t="str">
        <f>_xlfn.CONCAT(Table1[[#This Row],[Category]],"-",Table1[[#This Row],[City]])</f>
        <v>Fitness-Kolkata</v>
      </c>
      <c r="O83" t="str">
        <f>LEFT(Table1[[#This Row],[Category]],3)</f>
        <v>Fit</v>
      </c>
      <c r="P83" s="2"/>
    </row>
    <row r="84" spans="1:16" x14ac:dyDescent="0.35">
      <c r="A84" t="s">
        <v>94</v>
      </c>
      <c r="B84" t="s">
        <v>1219</v>
      </c>
      <c r="C84" t="s">
        <v>1228</v>
      </c>
      <c r="D84">
        <v>852</v>
      </c>
      <c r="E84">
        <v>1</v>
      </c>
      <c r="F84" t="s">
        <v>1302</v>
      </c>
      <c r="G84" t="s">
        <v>1589</v>
      </c>
      <c r="H84" t="s">
        <v>1592</v>
      </c>
      <c r="I84">
        <v>852</v>
      </c>
      <c r="J84">
        <v>80</v>
      </c>
      <c r="K84" t="s">
        <v>1595</v>
      </c>
      <c r="L84" t="s">
        <v>1599</v>
      </c>
      <c r="M84" t="str">
        <f>IF(Table1[[#This Row],[Quantity]]&gt;2,"Bulk Order","Normal Order")</f>
        <v>Normal Order</v>
      </c>
      <c r="N84" t="str">
        <f>_xlfn.CONCAT(Table1[[#This Row],[Category]],"-",Table1[[#This Row],[City]])</f>
        <v>Electronics-Bangalore</v>
      </c>
      <c r="O84" t="str">
        <f>LEFT(Table1[[#This Row],[Category]],3)</f>
        <v>Ele</v>
      </c>
      <c r="P84" s="2"/>
    </row>
    <row r="85" spans="1:16" x14ac:dyDescent="0.35">
      <c r="A85" t="s">
        <v>95</v>
      </c>
      <c r="B85" t="s">
        <v>1219</v>
      </c>
      <c r="C85" t="s">
        <v>1224</v>
      </c>
      <c r="D85">
        <v>3330</v>
      </c>
      <c r="E85">
        <v>4</v>
      </c>
      <c r="F85" t="s">
        <v>1303</v>
      </c>
      <c r="G85" t="s">
        <v>1588</v>
      </c>
      <c r="H85" t="s">
        <v>1592</v>
      </c>
      <c r="I85">
        <v>13320</v>
      </c>
      <c r="J85">
        <v>91</v>
      </c>
      <c r="K85" t="s">
        <v>1596</v>
      </c>
      <c r="L85" t="s">
        <v>1597</v>
      </c>
      <c r="M85" t="str">
        <f>IF(Table1[[#This Row],[Quantity]]&gt;2,"Bulk Order","Normal Order")</f>
        <v>Bulk Order</v>
      </c>
      <c r="N85" t="str">
        <f>_xlfn.CONCAT(Table1[[#This Row],[Category]],"-",Table1[[#This Row],[City]])</f>
        <v>Lifestyle-Delhi</v>
      </c>
      <c r="O85" t="str">
        <f>LEFT(Table1[[#This Row],[Category]],3)</f>
        <v>Lif</v>
      </c>
      <c r="P85" s="2"/>
    </row>
    <row r="86" spans="1:16" x14ac:dyDescent="0.35">
      <c r="A86" t="s">
        <v>96</v>
      </c>
      <c r="B86" t="s">
        <v>1212</v>
      </c>
      <c r="C86" t="s">
        <v>1227</v>
      </c>
      <c r="D86">
        <v>3545</v>
      </c>
      <c r="E86">
        <v>1</v>
      </c>
      <c r="F86" t="s">
        <v>1304</v>
      </c>
      <c r="G86" t="s">
        <v>1586</v>
      </c>
      <c r="H86" t="s">
        <v>1592</v>
      </c>
      <c r="I86">
        <v>3545</v>
      </c>
      <c r="J86">
        <v>79</v>
      </c>
      <c r="K86" t="s">
        <v>1595</v>
      </c>
      <c r="L86" t="s">
        <v>1599</v>
      </c>
      <c r="M86" t="str">
        <f>IF(Table1[[#This Row],[Quantity]]&gt;2,"Bulk Order","Normal Order")</f>
        <v>Normal Order</v>
      </c>
      <c r="N86" t="str">
        <f>_xlfn.CONCAT(Table1[[#This Row],[Category]],"-",Table1[[#This Row],[City]])</f>
        <v>Accessories-Hyderabad</v>
      </c>
      <c r="O86" t="str">
        <f>LEFT(Table1[[#This Row],[Category]],3)</f>
        <v>Acc</v>
      </c>
      <c r="P86" s="2"/>
    </row>
    <row r="87" spans="1:16" x14ac:dyDescent="0.35">
      <c r="A87" t="s">
        <v>97</v>
      </c>
      <c r="B87" t="s">
        <v>1221</v>
      </c>
      <c r="C87" t="s">
        <v>1225</v>
      </c>
      <c r="D87">
        <v>2184</v>
      </c>
      <c r="E87">
        <v>3</v>
      </c>
      <c r="F87" t="s">
        <v>1305</v>
      </c>
      <c r="G87" t="s">
        <v>1585</v>
      </c>
      <c r="H87" t="s">
        <v>1591</v>
      </c>
      <c r="I87">
        <v>6552</v>
      </c>
      <c r="J87">
        <v>94</v>
      </c>
      <c r="K87" t="s">
        <v>1594</v>
      </c>
      <c r="L87" t="s">
        <v>1599</v>
      </c>
      <c r="M87" t="str">
        <f>IF(Table1[[#This Row],[Quantity]]&gt;2,"Bulk Order","Normal Order")</f>
        <v>Bulk Order</v>
      </c>
      <c r="N87" t="str">
        <f>_xlfn.CONCAT(Table1[[#This Row],[Category]],"-",Table1[[#This Row],[City]])</f>
        <v>Fitness-Kolkata</v>
      </c>
      <c r="O87" t="str">
        <f>LEFT(Table1[[#This Row],[Category]],3)</f>
        <v>Fit</v>
      </c>
      <c r="P87" s="2"/>
    </row>
    <row r="88" spans="1:16" x14ac:dyDescent="0.35">
      <c r="A88" t="s">
        <v>98</v>
      </c>
      <c r="B88" t="s">
        <v>1216</v>
      </c>
      <c r="C88" t="s">
        <v>1225</v>
      </c>
      <c r="D88">
        <v>2823</v>
      </c>
      <c r="E88">
        <v>4</v>
      </c>
      <c r="F88" t="s">
        <v>1306</v>
      </c>
      <c r="G88" t="s">
        <v>1584</v>
      </c>
      <c r="H88" t="s">
        <v>1591</v>
      </c>
      <c r="I88">
        <v>11292</v>
      </c>
      <c r="J88">
        <v>78</v>
      </c>
      <c r="K88" t="s">
        <v>1595</v>
      </c>
      <c r="L88" t="s">
        <v>1599</v>
      </c>
      <c r="M88" t="str">
        <f>IF(Table1[[#This Row],[Quantity]]&gt;2,"Bulk Order","Normal Order")</f>
        <v>Bulk Order</v>
      </c>
      <c r="N88" t="str">
        <f>_xlfn.CONCAT(Table1[[#This Row],[Category]],"-",Table1[[#This Row],[City]])</f>
        <v>Fitness-Chennai</v>
      </c>
      <c r="O88" t="str">
        <f>LEFT(Table1[[#This Row],[Category]],3)</f>
        <v>Fit</v>
      </c>
      <c r="P88" s="2"/>
    </row>
    <row r="89" spans="1:16" x14ac:dyDescent="0.35">
      <c r="A89" t="s">
        <v>99</v>
      </c>
      <c r="B89" t="s">
        <v>1213</v>
      </c>
      <c r="C89" t="s">
        <v>1227</v>
      </c>
      <c r="D89">
        <v>3820</v>
      </c>
      <c r="E89">
        <v>1</v>
      </c>
      <c r="F89" t="s">
        <v>1307</v>
      </c>
      <c r="G89" t="s">
        <v>1584</v>
      </c>
      <c r="H89" t="s">
        <v>1593</v>
      </c>
      <c r="I89">
        <v>3820</v>
      </c>
      <c r="J89">
        <v>74</v>
      </c>
      <c r="K89" t="s">
        <v>1594</v>
      </c>
      <c r="L89" t="s">
        <v>1599</v>
      </c>
      <c r="M89" t="str">
        <f>IF(Table1[[#This Row],[Quantity]]&gt;2,"Bulk Order","Normal Order")</f>
        <v>Normal Order</v>
      </c>
      <c r="N89" t="str">
        <f>_xlfn.CONCAT(Table1[[#This Row],[Category]],"-",Table1[[#This Row],[City]])</f>
        <v>Accessories-Chennai</v>
      </c>
      <c r="O89" t="str">
        <f>LEFT(Table1[[#This Row],[Category]],3)</f>
        <v>Acc</v>
      </c>
      <c r="P89" s="2"/>
    </row>
    <row r="90" spans="1:16" x14ac:dyDescent="0.35">
      <c r="A90" t="s">
        <v>100</v>
      </c>
      <c r="B90" t="s">
        <v>1221</v>
      </c>
      <c r="C90" t="s">
        <v>1228</v>
      </c>
      <c r="D90">
        <v>1331</v>
      </c>
      <c r="E90">
        <v>1</v>
      </c>
      <c r="F90" t="s">
        <v>1308</v>
      </c>
      <c r="G90" t="s">
        <v>1587</v>
      </c>
      <c r="H90" t="s">
        <v>1593</v>
      </c>
      <c r="I90">
        <v>1331</v>
      </c>
      <c r="J90">
        <v>39</v>
      </c>
      <c r="K90" t="s">
        <v>1595</v>
      </c>
      <c r="L90" t="s">
        <v>1599</v>
      </c>
      <c r="M90" t="str">
        <f>IF(Table1[[#This Row],[Quantity]]&gt;2,"Bulk Order","Normal Order")</f>
        <v>Normal Order</v>
      </c>
      <c r="N90" t="str">
        <f>_xlfn.CONCAT(Table1[[#This Row],[Category]],"-",Table1[[#This Row],[City]])</f>
        <v>Electronics-Mumbai</v>
      </c>
      <c r="O90" t="str">
        <f>LEFT(Table1[[#This Row],[Category]],3)</f>
        <v>Ele</v>
      </c>
      <c r="P90" s="2"/>
    </row>
    <row r="91" spans="1:16" x14ac:dyDescent="0.35">
      <c r="A91" t="s">
        <v>101</v>
      </c>
      <c r="B91" t="s">
        <v>1216</v>
      </c>
      <c r="C91" t="s">
        <v>1224</v>
      </c>
      <c r="D91">
        <v>4458</v>
      </c>
      <c r="E91">
        <v>2</v>
      </c>
      <c r="F91" t="s">
        <v>1246</v>
      </c>
      <c r="G91" t="s">
        <v>1587</v>
      </c>
      <c r="H91" t="s">
        <v>1591</v>
      </c>
      <c r="I91">
        <v>8916</v>
      </c>
      <c r="J91">
        <v>29</v>
      </c>
      <c r="K91" t="s">
        <v>1595</v>
      </c>
      <c r="L91" t="s">
        <v>1599</v>
      </c>
      <c r="M91" t="str">
        <f>IF(Table1[[#This Row],[Quantity]]&gt;2,"Bulk Order","Normal Order")</f>
        <v>Normal Order</v>
      </c>
      <c r="N91" t="str">
        <f>_xlfn.CONCAT(Table1[[#This Row],[Category]],"-",Table1[[#This Row],[City]])</f>
        <v>Lifestyle-Mumbai</v>
      </c>
      <c r="O91" t="str">
        <f>LEFT(Table1[[#This Row],[Category]],3)</f>
        <v>Lif</v>
      </c>
      <c r="P91" s="2"/>
    </row>
    <row r="92" spans="1:16" x14ac:dyDescent="0.35">
      <c r="A92" t="s">
        <v>102</v>
      </c>
      <c r="B92" t="s">
        <v>1213</v>
      </c>
      <c r="C92" t="s">
        <v>1227</v>
      </c>
      <c r="D92">
        <v>3603</v>
      </c>
      <c r="E92">
        <v>3</v>
      </c>
      <c r="F92" t="s">
        <v>1298</v>
      </c>
      <c r="G92" t="s">
        <v>1588</v>
      </c>
      <c r="H92" t="s">
        <v>1592</v>
      </c>
      <c r="I92">
        <v>10809</v>
      </c>
      <c r="J92">
        <v>62</v>
      </c>
      <c r="K92" t="s">
        <v>1595</v>
      </c>
      <c r="L92" t="s">
        <v>1599</v>
      </c>
      <c r="M92" t="str">
        <f>IF(Table1[[#This Row],[Quantity]]&gt;2,"Bulk Order","Normal Order")</f>
        <v>Bulk Order</v>
      </c>
      <c r="N92" t="str">
        <f>_xlfn.CONCAT(Table1[[#This Row],[Category]],"-",Table1[[#This Row],[City]])</f>
        <v>Accessories-Delhi</v>
      </c>
      <c r="O92" t="str">
        <f>LEFT(Table1[[#This Row],[Category]],3)</f>
        <v>Acc</v>
      </c>
      <c r="P92" s="2"/>
    </row>
    <row r="93" spans="1:16" x14ac:dyDescent="0.35">
      <c r="A93" t="s">
        <v>103</v>
      </c>
      <c r="B93" t="s">
        <v>1215</v>
      </c>
      <c r="C93" t="s">
        <v>1224</v>
      </c>
      <c r="D93">
        <v>2635</v>
      </c>
      <c r="E93">
        <v>1</v>
      </c>
      <c r="F93" t="s">
        <v>1309</v>
      </c>
      <c r="G93" t="s">
        <v>1587</v>
      </c>
      <c r="H93" t="s">
        <v>1592</v>
      </c>
      <c r="I93">
        <v>2635</v>
      </c>
      <c r="J93">
        <v>30</v>
      </c>
      <c r="K93" t="s">
        <v>1595</v>
      </c>
      <c r="L93" t="s">
        <v>1598</v>
      </c>
      <c r="M93" t="str">
        <f>IF(Table1[[#This Row],[Quantity]]&gt;2,"Bulk Order","Normal Order")</f>
        <v>Normal Order</v>
      </c>
      <c r="N93" t="str">
        <f>_xlfn.CONCAT(Table1[[#This Row],[Category]],"-",Table1[[#This Row],[City]])</f>
        <v>Lifestyle-Mumbai</v>
      </c>
      <c r="O93" t="str">
        <f>LEFT(Table1[[#This Row],[Category]],3)</f>
        <v>Lif</v>
      </c>
      <c r="P93" s="2"/>
    </row>
    <row r="94" spans="1:16" x14ac:dyDescent="0.35">
      <c r="A94" t="s">
        <v>104</v>
      </c>
      <c r="B94" t="s">
        <v>1217</v>
      </c>
      <c r="C94" t="s">
        <v>1226</v>
      </c>
      <c r="D94">
        <v>3648</v>
      </c>
      <c r="E94">
        <v>2</v>
      </c>
      <c r="F94" t="s">
        <v>1277</v>
      </c>
      <c r="G94" t="s">
        <v>1588</v>
      </c>
      <c r="H94" t="s">
        <v>1593</v>
      </c>
      <c r="I94">
        <v>7296</v>
      </c>
      <c r="J94">
        <v>83</v>
      </c>
      <c r="K94" t="s">
        <v>1594</v>
      </c>
      <c r="L94" t="s">
        <v>1597</v>
      </c>
      <c r="M94" t="str">
        <f>IF(Table1[[#This Row],[Quantity]]&gt;2,"Bulk Order","Normal Order")</f>
        <v>Normal Order</v>
      </c>
      <c r="N94" t="str">
        <f>_xlfn.CONCAT(Table1[[#This Row],[Category]],"-",Table1[[#This Row],[City]])</f>
        <v>Home-Delhi</v>
      </c>
      <c r="O94" t="str">
        <f>LEFT(Table1[[#This Row],[Category]],3)</f>
        <v>Hom</v>
      </c>
      <c r="P94" s="2"/>
    </row>
    <row r="95" spans="1:16" x14ac:dyDescent="0.35">
      <c r="A95" t="s">
        <v>105</v>
      </c>
      <c r="B95" t="s">
        <v>1219</v>
      </c>
      <c r="C95" t="s">
        <v>1226</v>
      </c>
      <c r="D95">
        <v>619</v>
      </c>
      <c r="E95">
        <v>3</v>
      </c>
      <c r="F95" t="s">
        <v>1310</v>
      </c>
      <c r="G95" t="s">
        <v>1586</v>
      </c>
      <c r="H95" t="s">
        <v>1590</v>
      </c>
      <c r="I95">
        <v>1857</v>
      </c>
      <c r="J95">
        <v>22</v>
      </c>
      <c r="K95" t="s">
        <v>1595</v>
      </c>
      <c r="L95" t="s">
        <v>1599</v>
      </c>
      <c r="M95" t="str">
        <f>IF(Table1[[#This Row],[Quantity]]&gt;2,"Bulk Order","Normal Order")</f>
        <v>Bulk Order</v>
      </c>
      <c r="N95" t="str">
        <f>_xlfn.CONCAT(Table1[[#This Row],[Category]],"-",Table1[[#This Row],[City]])</f>
        <v>Home-Hyderabad</v>
      </c>
      <c r="O95" t="str">
        <f>LEFT(Table1[[#This Row],[Category]],3)</f>
        <v>Hom</v>
      </c>
      <c r="P95" s="2"/>
    </row>
    <row r="96" spans="1:16" x14ac:dyDescent="0.35">
      <c r="A96" t="s">
        <v>106</v>
      </c>
      <c r="B96" t="s">
        <v>1212</v>
      </c>
      <c r="C96" t="s">
        <v>1227</v>
      </c>
      <c r="D96">
        <v>1435</v>
      </c>
      <c r="E96">
        <v>2</v>
      </c>
      <c r="F96" t="s">
        <v>1311</v>
      </c>
      <c r="G96" t="s">
        <v>1584</v>
      </c>
      <c r="H96" t="s">
        <v>1591</v>
      </c>
      <c r="I96">
        <v>2870</v>
      </c>
      <c r="J96">
        <v>27</v>
      </c>
      <c r="K96" t="s">
        <v>1596</v>
      </c>
      <c r="L96" t="s">
        <v>1597</v>
      </c>
      <c r="M96" t="str">
        <f>IF(Table1[[#This Row],[Quantity]]&gt;2,"Bulk Order","Normal Order")</f>
        <v>Normal Order</v>
      </c>
      <c r="N96" t="str">
        <f>_xlfn.CONCAT(Table1[[#This Row],[Category]],"-",Table1[[#This Row],[City]])</f>
        <v>Accessories-Chennai</v>
      </c>
      <c r="O96" t="str">
        <f>LEFT(Table1[[#This Row],[Category]],3)</f>
        <v>Acc</v>
      </c>
      <c r="P96" s="2"/>
    </row>
    <row r="97" spans="1:16" x14ac:dyDescent="0.35">
      <c r="A97" t="s">
        <v>107</v>
      </c>
      <c r="B97" t="s">
        <v>1219</v>
      </c>
      <c r="C97" t="s">
        <v>1228</v>
      </c>
      <c r="D97">
        <v>2630</v>
      </c>
      <c r="E97">
        <v>3</v>
      </c>
      <c r="F97" t="s">
        <v>1312</v>
      </c>
      <c r="G97" t="s">
        <v>1584</v>
      </c>
      <c r="H97" t="s">
        <v>1592</v>
      </c>
      <c r="I97">
        <v>7890</v>
      </c>
      <c r="J97">
        <v>100</v>
      </c>
      <c r="K97" t="s">
        <v>1595</v>
      </c>
      <c r="L97" t="s">
        <v>1598</v>
      </c>
      <c r="M97" t="str">
        <f>IF(Table1[[#This Row],[Quantity]]&gt;2,"Bulk Order","Normal Order")</f>
        <v>Bulk Order</v>
      </c>
      <c r="N97" t="str">
        <f>_xlfn.CONCAT(Table1[[#This Row],[Category]],"-",Table1[[#This Row],[City]])</f>
        <v>Electronics-Chennai</v>
      </c>
      <c r="O97" t="str">
        <f>LEFT(Table1[[#This Row],[Category]],3)</f>
        <v>Ele</v>
      </c>
      <c r="P97" s="2"/>
    </row>
    <row r="98" spans="1:16" x14ac:dyDescent="0.35">
      <c r="A98" t="s">
        <v>108</v>
      </c>
      <c r="B98" t="s">
        <v>1220</v>
      </c>
      <c r="C98" t="s">
        <v>1224</v>
      </c>
      <c r="D98">
        <v>3441</v>
      </c>
      <c r="E98">
        <v>3</v>
      </c>
      <c r="F98" t="s">
        <v>1299</v>
      </c>
      <c r="G98" t="s">
        <v>1589</v>
      </c>
      <c r="H98" t="s">
        <v>1592</v>
      </c>
      <c r="I98">
        <v>10323</v>
      </c>
      <c r="J98">
        <v>23</v>
      </c>
      <c r="K98" t="s">
        <v>1595</v>
      </c>
      <c r="L98" t="s">
        <v>1599</v>
      </c>
      <c r="M98" t="str">
        <f>IF(Table1[[#This Row],[Quantity]]&gt;2,"Bulk Order","Normal Order")</f>
        <v>Bulk Order</v>
      </c>
      <c r="N98" t="str">
        <f>_xlfn.CONCAT(Table1[[#This Row],[Category]],"-",Table1[[#This Row],[City]])</f>
        <v>Lifestyle-Bangalore</v>
      </c>
      <c r="O98" t="str">
        <f>LEFT(Table1[[#This Row],[Category]],3)</f>
        <v>Lif</v>
      </c>
      <c r="P98" s="2"/>
    </row>
    <row r="99" spans="1:16" x14ac:dyDescent="0.35">
      <c r="A99" t="s">
        <v>109</v>
      </c>
      <c r="B99" t="s">
        <v>1221</v>
      </c>
      <c r="C99" t="s">
        <v>1228</v>
      </c>
      <c r="D99">
        <v>1246</v>
      </c>
      <c r="E99">
        <v>2</v>
      </c>
      <c r="F99" t="s">
        <v>1313</v>
      </c>
      <c r="G99" t="s">
        <v>1587</v>
      </c>
      <c r="H99" t="s">
        <v>1593</v>
      </c>
      <c r="I99">
        <v>2492</v>
      </c>
      <c r="J99">
        <v>30</v>
      </c>
      <c r="K99" t="s">
        <v>1595</v>
      </c>
      <c r="L99" t="s">
        <v>1598</v>
      </c>
      <c r="M99" t="str">
        <f>IF(Table1[[#This Row],[Quantity]]&gt;2,"Bulk Order","Normal Order")</f>
        <v>Normal Order</v>
      </c>
      <c r="N99" t="str">
        <f>_xlfn.CONCAT(Table1[[#This Row],[Category]],"-",Table1[[#This Row],[City]])</f>
        <v>Electronics-Mumbai</v>
      </c>
      <c r="O99" t="str">
        <f>LEFT(Table1[[#This Row],[Category]],3)</f>
        <v>Ele</v>
      </c>
      <c r="P99" s="2"/>
    </row>
    <row r="100" spans="1:16" x14ac:dyDescent="0.35">
      <c r="A100" t="s">
        <v>110</v>
      </c>
      <c r="B100" t="s">
        <v>1212</v>
      </c>
      <c r="C100" t="s">
        <v>1228</v>
      </c>
      <c r="D100">
        <v>311</v>
      </c>
      <c r="E100">
        <v>3</v>
      </c>
      <c r="F100" t="s">
        <v>1314</v>
      </c>
      <c r="G100" t="s">
        <v>1588</v>
      </c>
      <c r="H100" t="s">
        <v>1593</v>
      </c>
      <c r="I100">
        <v>933</v>
      </c>
      <c r="J100">
        <v>50</v>
      </c>
      <c r="K100" t="s">
        <v>1594</v>
      </c>
      <c r="L100" t="s">
        <v>1598</v>
      </c>
      <c r="M100" t="str">
        <f>IF(Table1[[#This Row],[Quantity]]&gt;2,"Bulk Order","Normal Order")</f>
        <v>Bulk Order</v>
      </c>
      <c r="N100" t="str">
        <f>_xlfn.CONCAT(Table1[[#This Row],[Category]],"-",Table1[[#This Row],[City]])</f>
        <v>Electronics-Delhi</v>
      </c>
      <c r="O100" t="str">
        <f>LEFT(Table1[[#This Row],[Category]],3)</f>
        <v>Ele</v>
      </c>
      <c r="P100" s="2"/>
    </row>
    <row r="101" spans="1:16" x14ac:dyDescent="0.35">
      <c r="A101" t="s">
        <v>111</v>
      </c>
      <c r="B101" t="s">
        <v>1213</v>
      </c>
      <c r="C101" t="s">
        <v>1224</v>
      </c>
      <c r="D101">
        <v>3548</v>
      </c>
      <c r="E101">
        <v>3</v>
      </c>
      <c r="F101" t="s">
        <v>1315</v>
      </c>
      <c r="G101" t="s">
        <v>1589</v>
      </c>
      <c r="H101" t="s">
        <v>1593</v>
      </c>
      <c r="I101">
        <v>10644</v>
      </c>
      <c r="J101">
        <v>81</v>
      </c>
      <c r="K101" t="s">
        <v>1595</v>
      </c>
      <c r="L101" t="s">
        <v>1597</v>
      </c>
      <c r="M101" t="str">
        <f>IF(Table1[[#This Row],[Quantity]]&gt;2,"Bulk Order","Normal Order")</f>
        <v>Bulk Order</v>
      </c>
      <c r="N101" t="str">
        <f>_xlfn.CONCAT(Table1[[#This Row],[Category]],"-",Table1[[#This Row],[City]])</f>
        <v>Lifestyle-Bangalore</v>
      </c>
      <c r="O101" t="str">
        <f>LEFT(Table1[[#This Row],[Category]],3)</f>
        <v>Lif</v>
      </c>
      <c r="P101" s="2"/>
    </row>
    <row r="102" spans="1:16" x14ac:dyDescent="0.35">
      <c r="A102" t="s">
        <v>112</v>
      </c>
      <c r="B102" t="s">
        <v>1221</v>
      </c>
      <c r="C102" t="s">
        <v>1227</v>
      </c>
      <c r="D102">
        <v>2679</v>
      </c>
      <c r="E102">
        <v>3</v>
      </c>
      <c r="F102" t="s">
        <v>1316</v>
      </c>
      <c r="G102" t="s">
        <v>1588</v>
      </c>
      <c r="H102" t="s">
        <v>1590</v>
      </c>
      <c r="I102">
        <v>8037</v>
      </c>
      <c r="J102">
        <v>57</v>
      </c>
      <c r="K102" t="s">
        <v>1595</v>
      </c>
      <c r="L102" t="s">
        <v>1597</v>
      </c>
      <c r="M102" t="str">
        <f>IF(Table1[[#This Row],[Quantity]]&gt;2,"Bulk Order","Normal Order")</f>
        <v>Bulk Order</v>
      </c>
      <c r="N102" t="str">
        <f>_xlfn.CONCAT(Table1[[#This Row],[Category]],"-",Table1[[#This Row],[City]])</f>
        <v>Accessories-Delhi</v>
      </c>
      <c r="O102" t="str">
        <f>LEFT(Table1[[#This Row],[Category]],3)</f>
        <v>Acc</v>
      </c>
      <c r="P102" s="2"/>
    </row>
    <row r="103" spans="1:16" x14ac:dyDescent="0.35">
      <c r="A103" t="s">
        <v>113</v>
      </c>
      <c r="B103" t="s">
        <v>1222</v>
      </c>
      <c r="C103" t="s">
        <v>1225</v>
      </c>
      <c r="D103">
        <v>1514</v>
      </c>
      <c r="E103">
        <v>3</v>
      </c>
      <c r="F103" t="s">
        <v>1317</v>
      </c>
      <c r="G103" t="s">
        <v>1584</v>
      </c>
      <c r="H103" t="s">
        <v>1592</v>
      </c>
      <c r="I103">
        <v>4542</v>
      </c>
      <c r="J103">
        <v>86</v>
      </c>
      <c r="K103" t="s">
        <v>1595</v>
      </c>
      <c r="L103" t="s">
        <v>1598</v>
      </c>
      <c r="M103" t="str">
        <f>IF(Table1[[#This Row],[Quantity]]&gt;2,"Bulk Order","Normal Order")</f>
        <v>Bulk Order</v>
      </c>
      <c r="N103" t="str">
        <f>_xlfn.CONCAT(Table1[[#This Row],[Category]],"-",Table1[[#This Row],[City]])</f>
        <v>Fitness-Chennai</v>
      </c>
      <c r="O103" t="str">
        <f>LEFT(Table1[[#This Row],[Category]],3)</f>
        <v>Fit</v>
      </c>
      <c r="P103" s="2"/>
    </row>
    <row r="104" spans="1:16" x14ac:dyDescent="0.35">
      <c r="A104" t="s">
        <v>114</v>
      </c>
      <c r="B104" t="s">
        <v>1213</v>
      </c>
      <c r="C104" t="s">
        <v>1226</v>
      </c>
      <c r="D104">
        <v>3532</v>
      </c>
      <c r="E104">
        <v>3</v>
      </c>
      <c r="F104" t="s">
        <v>1306</v>
      </c>
      <c r="G104" t="s">
        <v>1586</v>
      </c>
      <c r="H104" t="s">
        <v>1592</v>
      </c>
      <c r="I104">
        <v>10596</v>
      </c>
      <c r="J104">
        <v>71</v>
      </c>
      <c r="K104" t="s">
        <v>1595</v>
      </c>
      <c r="L104" t="s">
        <v>1598</v>
      </c>
      <c r="M104" t="str">
        <f>IF(Table1[[#This Row],[Quantity]]&gt;2,"Bulk Order","Normal Order")</f>
        <v>Bulk Order</v>
      </c>
      <c r="N104" t="str">
        <f>_xlfn.CONCAT(Table1[[#This Row],[Category]],"-",Table1[[#This Row],[City]])</f>
        <v>Home-Hyderabad</v>
      </c>
      <c r="O104" t="str">
        <f>LEFT(Table1[[#This Row],[Category]],3)</f>
        <v>Hom</v>
      </c>
      <c r="P104" s="2"/>
    </row>
    <row r="105" spans="1:16" x14ac:dyDescent="0.35">
      <c r="A105" t="s">
        <v>115</v>
      </c>
      <c r="B105" t="s">
        <v>1215</v>
      </c>
      <c r="C105" t="s">
        <v>1227</v>
      </c>
      <c r="D105">
        <v>3650</v>
      </c>
      <c r="E105">
        <v>3</v>
      </c>
      <c r="F105" t="s">
        <v>1318</v>
      </c>
      <c r="G105" t="s">
        <v>1585</v>
      </c>
      <c r="H105" t="s">
        <v>1593</v>
      </c>
      <c r="I105">
        <v>10950</v>
      </c>
      <c r="J105">
        <v>56</v>
      </c>
      <c r="K105" t="s">
        <v>1596</v>
      </c>
      <c r="L105" t="s">
        <v>1599</v>
      </c>
      <c r="M105" t="str">
        <f>IF(Table1[[#This Row],[Quantity]]&gt;2,"Bulk Order","Normal Order")</f>
        <v>Bulk Order</v>
      </c>
      <c r="N105" t="str">
        <f>_xlfn.CONCAT(Table1[[#This Row],[Category]],"-",Table1[[#This Row],[City]])</f>
        <v>Accessories-Kolkata</v>
      </c>
      <c r="O105" t="str">
        <f>LEFT(Table1[[#This Row],[Category]],3)</f>
        <v>Acc</v>
      </c>
      <c r="P105" s="2"/>
    </row>
    <row r="106" spans="1:16" x14ac:dyDescent="0.35">
      <c r="A106" t="s">
        <v>116</v>
      </c>
      <c r="B106" t="s">
        <v>1220</v>
      </c>
      <c r="C106" t="s">
        <v>1225</v>
      </c>
      <c r="D106">
        <v>2922</v>
      </c>
      <c r="E106">
        <v>3</v>
      </c>
      <c r="F106" t="s">
        <v>1319</v>
      </c>
      <c r="G106" t="s">
        <v>1589</v>
      </c>
      <c r="H106" t="s">
        <v>1592</v>
      </c>
      <c r="I106">
        <v>8766</v>
      </c>
      <c r="J106">
        <v>65</v>
      </c>
      <c r="K106" t="s">
        <v>1595</v>
      </c>
      <c r="L106" t="s">
        <v>1599</v>
      </c>
      <c r="M106" t="str">
        <f>IF(Table1[[#This Row],[Quantity]]&gt;2,"Bulk Order","Normal Order")</f>
        <v>Bulk Order</v>
      </c>
      <c r="N106" t="str">
        <f>_xlfn.CONCAT(Table1[[#This Row],[Category]],"-",Table1[[#This Row],[City]])</f>
        <v>Fitness-Bangalore</v>
      </c>
      <c r="O106" t="str">
        <f>LEFT(Table1[[#This Row],[Category]],3)</f>
        <v>Fit</v>
      </c>
      <c r="P106" s="2"/>
    </row>
    <row r="107" spans="1:16" x14ac:dyDescent="0.35">
      <c r="A107" t="s">
        <v>117</v>
      </c>
      <c r="B107" t="s">
        <v>1221</v>
      </c>
      <c r="C107" t="s">
        <v>1225</v>
      </c>
      <c r="D107">
        <v>1558</v>
      </c>
      <c r="E107">
        <v>2</v>
      </c>
      <c r="F107" t="s">
        <v>1320</v>
      </c>
      <c r="G107" t="s">
        <v>1584</v>
      </c>
      <c r="H107" t="s">
        <v>1592</v>
      </c>
      <c r="I107">
        <v>3116</v>
      </c>
      <c r="J107">
        <v>38</v>
      </c>
      <c r="K107" t="s">
        <v>1595</v>
      </c>
      <c r="L107" t="s">
        <v>1599</v>
      </c>
      <c r="M107" t="str">
        <f>IF(Table1[[#This Row],[Quantity]]&gt;2,"Bulk Order","Normal Order")</f>
        <v>Normal Order</v>
      </c>
      <c r="N107" t="str">
        <f>_xlfn.CONCAT(Table1[[#This Row],[Category]],"-",Table1[[#This Row],[City]])</f>
        <v>Fitness-Chennai</v>
      </c>
      <c r="O107" t="str">
        <f>LEFT(Table1[[#This Row],[Category]],3)</f>
        <v>Fit</v>
      </c>
      <c r="P107" s="2"/>
    </row>
    <row r="108" spans="1:16" x14ac:dyDescent="0.35">
      <c r="A108" t="s">
        <v>118</v>
      </c>
      <c r="B108" t="s">
        <v>1217</v>
      </c>
      <c r="C108" t="s">
        <v>1225</v>
      </c>
      <c r="D108">
        <v>4970</v>
      </c>
      <c r="E108">
        <v>1</v>
      </c>
      <c r="F108" t="s">
        <v>1321</v>
      </c>
      <c r="G108" t="s">
        <v>1588</v>
      </c>
      <c r="H108" t="s">
        <v>1592</v>
      </c>
      <c r="I108">
        <v>4970</v>
      </c>
      <c r="J108">
        <v>50</v>
      </c>
      <c r="K108" t="s">
        <v>1595</v>
      </c>
      <c r="L108" t="s">
        <v>1597</v>
      </c>
      <c r="M108" t="str">
        <f>IF(Table1[[#This Row],[Quantity]]&gt;2,"Bulk Order","Normal Order")</f>
        <v>Normal Order</v>
      </c>
      <c r="N108" t="str">
        <f>_xlfn.CONCAT(Table1[[#This Row],[Category]],"-",Table1[[#This Row],[City]])</f>
        <v>Fitness-Delhi</v>
      </c>
      <c r="O108" t="str">
        <f>LEFT(Table1[[#This Row],[Category]],3)</f>
        <v>Fit</v>
      </c>
      <c r="P108" s="2"/>
    </row>
    <row r="109" spans="1:16" x14ac:dyDescent="0.35">
      <c r="A109" t="s">
        <v>119</v>
      </c>
      <c r="B109" t="s">
        <v>1215</v>
      </c>
      <c r="C109" t="s">
        <v>1225</v>
      </c>
      <c r="D109">
        <v>584</v>
      </c>
      <c r="E109">
        <v>4</v>
      </c>
      <c r="F109" t="s">
        <v>1322</v>
      </c>
      <c r="G109" t="s">
        <v>1589</v>
      </c>
      <c r="H109" t="s">
        <v>1593</v>
      </c>
      <c r="I109">
        <v>2336</v>
      </c>
      <c r="J109">
        <v>84</v>
      </c>
      <c r="K109" t="s">
        <v>1595</v>
      </c>
      <c r="L109" t="s">
        <v>1597</v>
      </c>
      <c r="M109" t="str">
        <f>IF(Table1[[#This Row],[Quantity]]&gt;2,"Bulk Order","Normal Order")</f>
        <v>Bulk Order</v>
      </c>
      <c r="N109" t="str">
        <f>_xlfn.CONCAT(Table1[[#This Row],[Category]],"-",Table1[[#This Row],[City]])</f>
        <v>Fitness-Bangalore</v>
      </c>
      <c r="O109" t="str">
        <f>LEFT(Table1[[#This Row],[Category]],3)</f>
        <v>Fit</v>
      </c>
      <c r="P109" s="2"/>
    </row>
    <row r="110" spans="1:16" x14ac:dyDescent="0.35">
      <c r="A110" t="s">
        <v>120</v>
      </c>
      <c r="B110" t="s">
        <v>1223</v>
      </c>
      <c r="C110" t="s">
        <v>1226</v>
      </c>
      <c r="D110">
        <v>4917</v>
      </c>
      <c r="E110">
        <v>1</v>
      </c>
      <c r="F110" t="s">
        <v>1323</v>
      </c>
      <c r="G110" t="s">
        <v>1584</v>
      </c>
      <c r="H110" t="s">
        <v>1591</v>
      </c>
      <c r="I110">
        <v>4917</v>
      </c>
      <c r="J110">
        <v>67</v>
      </c>
      <c r="K110" t="s">
        <v>1595</v>
      </c>
      <c r="L110" t="s">
        <v>1599</v>
      </c>
      <c r="M110" t="str">
        <f>IF(Table1[[#This Row],[Quantity]]&gt;2,"Bulk Order","Normal Order")</f>
        <v>Normal Order</v>
      </c>
      <c r="N110" t="str">
        <f>_xlfn.CONCAT(Table1[[#This Row],[Category]],"-",Table1[[#This Row],[City]])</f>
        <v>Home-Chennai</v>
      </c>
      <c r="O110" t="str">
        <f>LEFT(Table1[[#This Row],[Category]],3)</f>
        <v>Hom</v>
      </c>
      <c r="P110" s="2"/>
    </row>
    <row r="111" spans="1:16" x14ac:dyDescent="0.35">
      <c r="A111" t="s">
        <v>121</v>
      </c>
      <c r="B111" t="s">
        <v>1223</v>
      </c>
      <c r="C111" t="s">
        <v>1226</v>
      </c>
      <c r="D111">
        <v>4055</v>
      </c>
      <c r="E111">
        <v>2</v>
      </c>
      <c r="F111" t="s">
        <v>1324</v>
      </c>
      <c r="G111" t="s">
        <v>1585</v>
      </c>
      <c r="H111" t="s">
        <v>1590</v>
      </c>
      <c r="I111">
        <v>8110</v>
      </c>
      <c r="J111">
        <v>63</v>
      </c>
      <c r="K111" t="s">
        <v>1595</v>
      </c>
      <c r="L111" t="s">
        <v>1597</v>
      </c>
      <c r="M111" t="str">
        <f>IF(Table1[[#This Row],[Quantity]]&gt;2,"Bulk Order","Normal Order")</f>
        <v>Normal Order</v>
      </c>
      <c r="N111" t="str">
        <f>_xlfn.CONCAT(Table1[[#This Row],[Category]],"-",Table1[[#This Row],[City]])</f>
        <v>Home-Kolkata</v>
      </c>
      <c r="O111" t="str">
        <f>LEFT(Table1[[#This Row],[Category]],3)</f>
        <v>Hom</v>
      </c>
      <c r="P111" s="2"/>
    </row>
    <row r="112" spans="1:16" x14ac:dyDescent="0.35">
      <c r="A112" t="s">
        <v>122</v>
      </c>
      <c r="B112" t="s">
        <v>1215</v>
      </c>
      <c r="C112" t="s">
        <v>1228</v>
      </c>
      <c r="D112">
        <v>4016</v>
      </c>
      <c r="E112">
        <v>4</v>
      </c>
      <c r="F112" t="s">
        <v>1325</v>
      </c>
      <c r="G112" t="s">
        <v>1585</v>
      </c>
      <c r="H112" t="s">
        <v>1593</v>
      </c>
      <c r="I112">
        <v>16064</v>
      </c>
      <c r="J112">
        <v>75</v>
      </c>
      <c r="K112" t="s">
        <v>1596</v>
      </c>
      <c r="L112" t="s">
        <v>1598</v>
      </c>
      <c r="M112" t="str">
        <f>IF(Table1[[#This Row],[Quantity]]&gt;2,"Bulk Order","Normal Order")</f>
        <v>Bulk Order</v>
      </c>
      <c r="N112" t="str">
        <f>_xlfn.CONCAT(Table1[[#This Row],[Category]],"-",Table1[[#This Row],[City]])</f>
        <v>Electronics-Kolkata</v>
      </c>
      <c r="O112" t="str">
        <f>LEFT(Table1[[#This Row],[Category]],3)</f>
        <v>Ele</v>
      </c>
      <c r="P112" s="2"/>
    </row>
    <row r="113" spans="1:16" x14ac:dyDescent="0.35">
      <c r="A113" t="s">
        <v>123</v>
      </c>
      <c r="B113" t="s">
        <v>1217</v>
      </c>
      <c r="C113" t="s">
        <v>1228</v>
      </c>
      <c r="D113">
        <v>1886</v>
      </c>
      <c r="E113">
        <v>1</v>
      </c>
      <c r="F113" t="s">
        <v>1326</v>
      </c>
      <c r="G113" t="s">
        <v>1588</v>
      </c>
      <c r="H113" t="s">
        <v>1592</v>
      </c>
      <c r="I113">
        <v>1886</v>
      </c>
      <c r="J113">
        <v>52</v>
      </c>
      <c r="K113" t="s">
        <v>1595</v>
      </c>
      <c r="L113" t="s">
        <v>1599</v>
      </c>
      <c r="M113" t="str">
        <f>IF(Table1[[#This Row],[Quantity]]&gt;2,"Bulk Order","Normal Order")</f>
        <v>Normal Order</v>
      </c>
      <c r="N113" t="str">
        <f>_xlfn.CONCAT(Table1[[#This Row],[Category]],"-",Table1[[#This Row],[City]])</f>
        <v>Electronics-Delhi</v>
      </c>
      <c r="O113" t="str">
        <f>LEFT(Table1[[#This Row],[Category]],3)</f>
        <v>Ele</v>
      </c>
      <c r="P113" s="2"/>
    </row>
    <row r="114" spans="1:16" x14ac:dyDescent="0.35">
      <c r="A114" t="s">
        <v>124</v>
      </c>
      <c r="B114" t="s">
        <v>1220</v>
      </c>
      <c r="C114" t="s">
        <v>1225</v>
      </c>
      <c r="D114">
        <v>4750</v>
      </c>
      <c r="E114">
        <v>3</v>
      </c>
      <c r="F114" t="s">
        <v>1327</v>
      </c>
      <c r="G114" t="s">
        <v>1587</v>
      </c>
      <c r="H114" t="s">
        <v>1590</v>
      </c>
      <c r="I114">
        <v>14250</v>
      </c>
      <c r="J114">
        <v>98</v>
      </c>
      <c r="K114" t="s">
        <v>1596</v>
      </c>
      <c r="L114" t="s">
        <v>1598</v>
      </c>
      <c r="M114" t="str">
        <f>IF(Table1[[#This Row],[Quantity]]&gt;2,"Bulk Order","Normal Order")</f>
        <v>Bulk Order</v>
      </c>
      <c r="N114" t="str">
        <f>_xlfn.CONCAT(Table1[[#This Row],[Category]],"-",Table1[[#This Row],[City]])</f>
        <v>Fitness-Mumbai</v>
      </c>
      <c r="O114" t="str">
        <f>LEFT(Table1[[#This Row],[Category]],3)</f>
        <v>Fit</v>
      </c>
      <c r="P114" s="2"/>
    </row>
    <row r="115" spans="1:16" x14ac:dyDescent="0.35">
      <c r="A115" t="s">
        <v>125</v>
      </c>
      <c r="B115" t="s">
        <v>1217</v>
      </c>
      <c r="C115" t="s">
        <v>1226</v>
      </c>
      <c r="D115">
        <v>4520</v>
      </c>
      <c r="E115">
        <v>2</v>
      </c>
      <c r="F115" t="s">
        <v>1328</v>
      </c>
      <c r="G115" t="s">
        <v>1587</v>
      </c>
      <c r="H115" t="s">
        <v>1592</v>
      </c>
      <c r="I115">
        <v>9040</v>
      </c>
      <c r="J115">
        <v>89</v>
      </c>
      <c r="K115" t="s">
        <v>1594</v>
      </c>
      <c r="L115" t="s">
        <v>1598</v>
      </c>
      <c r="M115" t="str">
        <f>IF(Table1[[#This Row],[Quantity]]&gt;2,"Bulk Order","Normal Order")</f>
        <v>Normal Order</v>
      </c>
      <c r="N115" t="str">
        <f>_xlfn.CONCAT(Table1[[#This Row],[Category]],"-",Table1[[#This Row],[City]])</f>
        <v>Home-Mumbai</v>
      </c>
      <c r="O115" t="str">
        <f>LEFT(Table1[[#This Row],[Category]],3)</f>
        <v>Hom</v>
      </c>
      <c r="P115" s="2"/>
    </row>
    <row r="116" spans="1:16" x14ac:dyDescent="0.35">
      <c r="A116" t="s">
        <v>126</v>
      </c>
      <c r="B116" t="s">
        <v>1216</v>
      </c>
      <c r="C116" t="s">
        <v>1224</v>
      </c>
      <c r="D116">
        <v>1348</v>
      </c>
      <c r="E116">
        <v>4</v>
      </c>
      <c r="F116" t="s">
        <v>1329</v>
      </c>
      <c r="G116" t="s">
        <v>1588</v>
      </c>
      <c r="H116" t="s">
        <v>1593</v>
      </c>
      <c r="I116">
        <v>5392</v>
      </c>
      <c r="J116">
        <v>80</v>
      </c>
      <c r="K116" t="s">
        <v>1596</v>
      </c>
      <c r="L116" t="s">
        <v>1598</v>
      </c>
      <c r="M116" t="str">
        <f>IF(Table1[[#This Row],[Quantity]]&gt;2,"Bulk Order","Normal Order")</f>
        <v>Bulk Order</v>
      </c>
      <c r="N116" t="str">
        <f>_xlfn.CONCAT(Table1[[#This Row],[Category]],"-",Table1[[#This Row],[City]])</f>
        <v>Lifestyle-Delhi</v>
      </c>
      <c r="O116" t="str">
        <f>LEFT(Table1[[#This Row],[Category]],3)</f>
        <v>Lif</v>
      </c>
      <c r="P116" s="2"/>
    </row>
    <row r="117" spans="1:16" x14ac:dyDescent="0.35">
      <c r="A117" t="s">
        <v>127</v>
      </c>
      <c r="B117" t="s">
        <v>1216</v>
      </c>
      <c r="C117" t="s">
        <v>1225</v>
      </c>
      <c r="D117">
        <v>1080</v>
      </c>
      <c r="E117">
        <v>3</v>
      </c>
      <c r="F117" t="s">
        <v>1330</v>
      </c>
      <c r="G117" t="s">
        <v>1584</v>
      </c>
      <c r="H117" t="s">
        <v>1592</v>
      </c>
      <c r="I117">
        <v>3240</v>
      </c>
      <c r="J117">
        <v>64</v>
      </c>
      <c r="K117" t="s">
        <v>1594</v>
      </c>
      <c r="L117" t="s">
        <v>1599</v>
      </c>
      <c r="M117" t="str">
        <f>IF(Table1[[#This Row],[Quantity]]&gt;2,"Bulk Order","Normal Order")</f>
        <v>Bulk Order</v>
      </c>
      <c r="N117" t="str">
        <f>_xlfn.CONCAT(Table1[[#This Row],[Category]],"-",Table1[[#This Row],[City]])</f>
        <v>Fitness-Chennai</v>
      </c>
      <c r="O117" t="str">
        <f>LEFT(Table1[[#This Row],[Category]],3)</f>
        <v>Fit</v>
      </c>
      <c r="P117" s="2"/>
    </row>
    <row r="118" spans="1:16" x14ac:dyDescent="0.35">
      <c r="A118" t="s">
        <v>128</v>
      </c>
      <c r="B118" t="s">
        <v>1214</v>
      </c>
      <c r="C118" t="s">
        <v>1226</v>
      </c>
      <c r="D118">
        <v>4776</v>
      </c>
      <c r="E118">
        <v>1</v>
      </c>
      <c r="F118" t="s">
        <v>1331</v>
      </c>
      <c r="G118" t="s">
        <v>1586</v>
      </c>
      <c r="H118" t="s">
        <v>1591</v>
      </c>
      <c r="I118">
        <v>4776</v>
      </c>
      <c r="J118">
        <v>54</v>
      </c>
      <c r="K118" t="s">
        <v>1594</v>
      </c>
      <c r="L118" t="s">
        <v>1599</v>
      </c>
      <c r="M118" t="str">
        <f>IF(Table1[[#This Row],[Quantity]]&gt;2,"Bulk Order","Normal Order")</f>
        <v>Normal Order</v>
      </c>
      <c r="N118" t="str">
        <f>_xlfn.CONCAT(Table1[[#This Row],[Category]],"-",Table1[[#This Row],[City]])</f>
        <v>Home-Hyderabad</v>
      </c>
      <c r="O118" t="str">
        <f>LEFT(Table1[[#This Row],[Category]],3)</f>
        <v>Hom</v>
      </c>
      <c r="P118" s="2"/>
    </row>
    <row r="119" spans="1:16" x14ac:dyDescent="0.35">
      <c r="A119" t="s">
        <v>129</v>
      </c>
      <c r="B119" t="s">
        <v>1220</v>
      </c>
      <c r="C119" t="s">
        <v>1227</v>
      </c>
      <c r="D119">
        <v>4063</v>
      </c>
      <c r="E119">
        <v>2</v>
      </c>
      <c r="F119" t="s">
        <v>1332</v>
      </c>
      <c r="G119" t="s">
        <v>1584</v>
      </c>
      <c r="H119" t="s">
        <v>1591</v>
      </c>
      <c r="I119">
        <v>8126</v>
      </c>
      <c r="J119">
        <v>84</v>
      </c>
      <c r="K119" t="s">
        <v>1595</v>
      </c>
      <c r="L119" t="s">
        <v>1598</v>
      </c>
      <c r="M119" t="str">
        <f>IF(Table1[[#This Row],[Quantity]]&gt;2,"Bulk Order","Normal Order")</f>
        <v>Normal Order</v>
      </c>
      <c r="N119" t="str">
        <f>_xlfn.CONCAT(Table1[[#This Row],[Category]],"-",Table1[[#This Row],[City]])</f>
        <v>Accessories-Chennai</v>
      </c>
      <c r="O119" t="str">
        <f>LEFT(Table1[[#This Row],[Category]],3)</f>
        <v>Acc</v>
      </c>
      <c r="P119" s="2"/>
    </row>
    <row r="120" spans="1:16" x14ac:dyDescent="0.35">
      <c r="A120" t="s">
        <v>130</v>
      </c>
      <c r="B120" t="s">
        <v>1219</v>
      </c>
      <c r="C120" t="s">
        <v>1225</v>
      </c>
      <c r="D120">
        <v>3845</v>
      </c>
      <c r="E120">
        <v>4</v>
      </c>
      <c r="F120" t="s">
        <v>1333</v>
      </c>
      <c r="G120" t="s">
        <v>1584</v>
      </c>
      <c r="H120" t="s">
        <v>1592</v>
      </c>
      <c r="I120">
        <v>15380</v>
      </c>
      <c r="J120">
        <v>52</v>
      </c>
      <c r="K120" t="s">
        <v>1594</v>
      </c>
      <c r="L120" t="s">
        <v>1597</v>
      </c>
      <c r="M120" t="str">
        <f>IF(Table1[[#This Row],[Quantity]]&gt;2,"Bulk Order","Normal Order")</f>
        <v>Bulk Order</v>
      </c>
      <c r="N120" t="str">
        <f>_xlfn.CONCAT(Table1[[#This Row],[Category]],"-",Table1[[#This Row],[City]])</f>
        <v>Fitness-Chennai</v>
      </c>
      <c r="O120" t="str">
        <f>LEFT(Table1[[#This Row],[Category]],3)</f>
        <v>Fit</v>
      </c>
      <c r="P120" s="2"/>
    </row>
    <row r="121" spans="1:16" x14ac:dyDescent="0.35">
      <c r="A121" t="s">
        <v>131</v>
      </c>
      <c r="B121" t="s">
        <v>1217</v>
      </c>
      <c r="C121" t="s">
        <v>1228</v>
      </c>
      <c r="D121">
        <v>2804</v>
      </c>
      <c r="E121">
        <v>4</v>
      </c>
      <c r="F121" t="s">
        <v>1334</v>
      </c>
      <c r="G121" t="s">
        <v>1587</v>
      </c>
      <c r="H121" t="s">
        <v>1592</v>
      </c>
      <c r="I121">
        <v>11216</v>
      </c>
      <c r="J121">
        <v>65</v>
      </c>
      <c r="K121" t="s">
        <v>1594</v>
      </c>
      <c r="L121" t="s">
        <v>1599</v>
      </c>
      <c r="M121" t="str">
        <f>IF(Table1[[#This Row],[Quantity]]&gt;2,"Bulk Order","Normal Order")</f>
        <v>Bulk Order</v>
      </c>
      <c r="N121" t="str">
        <f>_xlfn.CONCAT(Table1[[#This Row],[Category]],"-",Table1[[#This Row],[City]])</f>
        <v>Electronics-Mumbai</v>
      </c>
      <c r="O121" t="str">
        <f>LEFT(Table1[[#This Row],[Category]],3)</f>
        <v>Ele</v>
      </c>
      <c r="P121" s="2"/>
    </row>
    <row r="122" spans="1:16" x14ac:dyDescent="0.35">
      <c r="A122" t="s">
        <v>132</v>
      </c>
      <c r="B122" t="s">
        <v>1221</v>
      </c>
      <c r="C122" t="s">
        <v>1228</v>
      </c>
      <c r="D122">
        <v>767</v>
      </c>
      <c r="E122">
        <v>3</v>
      </c>
      <c r="F122" t="s">
        <v>1335</v>
      </c>
      <c r="G122" t="s">
        <v>1585</v>
      </c>
      <c r="H122" t="s">
        <v>1592</v>
      </c>
      <c r="I122">
        <v>2301</v>
      </c>
      <c r="J122">
        <v>45</v>
      </c>
      <c r="K122" t="s">
        <v>1595</v>
      </c>
      <c r="L122" t="s">
        <v>1599</v>
      </c>
      <c r="M122" t="str">
        <f>IF(Table1[[#This Row],[Quantity]]&gt;2,"Bulk Order","Normal Order")</f>
        <v>Bulk Order</v>
      </c>
      <c r="N122" t="str">
        <f>_xlfn.CONCAT(Table1[[#This Row],[Category]],"-",Table1[[#This Row],[City]])</f>
        <v>Electronics-Kolkata</v>
      </c>
      <c r="O122" t="str">
        <f>LEFT(Table1[[#This Row],[Category]],3)</f>
        <v>Ele</v>
      </c>
      <c r="P122" s="2"/>
    </row>
    <row r="123" spans="1:16" x14ac:dyDescent="0.35">
      <c r="A123" t="s">
        <v>133</v>
      </c>
      <c r="B123" t="s">
        <v>1216</v>
      </c>
      <c r="C123" t="s">
        <v>1227</v>
      </c>
      <c r="D123">
        <v>3735</v>
      </c>
      <c r="E123">
        <v>2</v>
      </c>
      <c r="F123" t="s">
        <v>1336</v>
      </c>
      <c r="G123" t="s">
        <v>1586</v>
      </c>
      <c r="H123" t="s">
        <v>1593</v>
      </c>
      <c r="I123">
        <v>7470</v>
      </c>
      <c r="J123">
        <v>27</v>
      </c>
      <c r="K123" t="s">
        <v>1595</v>
      </c>
      <c r="L123" t="s">
        <v>1599</v>
      </c>
      <c r="M123" t="str">
        <f>IF(Table1[[#This Row],[Quantity]]&gt;2,"Bulk Order","Normal Order")</f>
        <v>Normal Order</v>
      </c>
      <c r="N123" t="str">
        <f>_xlfn.CONCAT(Table1[[#This Row],[Category]],"-",Table1[[#This Row],[City]])</f>
        <v>Accessories-Hyderabad</v>
      </c>
      <c r="O123" t="str">
        <f>LEFT(Table1[[#This Row],[Category]],3)</f>
        <v>Acc</v>
      </c>
      <c r="P123" s="2"/>
    </row>
    <row r="124" spans="1:16" x14ac:dyDescent="0.35">
      <c r="A124" t="s">
        <v>134</v>
      </c>
      <c r="B124" t="s">
        <v>1216</v>
      </c>
      <c r="C124" t="s">
        <v>1224</v>
      </c>
      <c r="D124">
        <v>2249</v>
      </c>
      <c r="E124">
        <v>1</v>
      </c>
      <c r="F124" t="s">
        <v>1337</v>
      </c>
      <c r="G124" t="s">
        <v>1585</v>
      </c>
      <c r="H124" t="s">
        <v>1593</v>
      </c>
      <c r="I124">
        <v>2249</v>
      </c>
      <c r="J124">
        <v>96</v>
      </c>
      <c r="K124" t="s">
        <v>1594</v>
      </c>
      <c r="L124" t="s">
        <v>1599</v>
      </c>
      <c r="M124" t="str">
        <f>IF(Table1[[#This Row],[Quantity]]&gt;2,"Bulk Order","Normal Order")</f>
        <v>Normal Order</v>
      </c>
      <c r="N124" t="str">
        <f>_xlfn.CONCAT(Table1[[#This Row],[Category]],"-",Table1[[#This Row],[City]])</f>
        <v>Lifestyle-Kolkata</v>
      </c>
      <c r="O124" t="str">
        <f>LEFT(Table1[[#This Row],[Category]],3)</f>
        <v>Lif</v>
      </c>
      <c r="P124" s="2"/>
    </row>
    <row r="125" spans="1:16" x14ac:dyDescent="0.35">
      <c r="A125" t="s">
        <v>135</v>
      </c>
      <c r="B125" t="s">
        <v>1212</v>
      </c>
      <c r="C125" t="s">
        <v>1224</v>
      </c>
      <c r="D125">
        <v>875</v>
      </c>
      <c r="E125">
        <v>3</v>
      </c>
      <c r="F125" t="s">
        <v>1243</v>
      </c>
      <c r="G125" t="s">
        <v>1588</v>
      </c>
      <c r="H125" t="s">
        <v>1592</v>
      </c>
      <c r="I125">
        <v>2625</v>
      </c>
      <c r="J125">
        <v>88</v>
      </c>
      <c r="K125" t="s">
        <v>1595</v>
      </c>
      <c r="L125" t="s">
        <v>1598</v>
      </c>
      <c r="M125" t="str">
        <f>IF(Table1[[#This Row],[Quantity]]&gt;2,"Bulk Order","Normal Order")</f>
        <v>Bulk Order</v>
      </c>
      <c r="N125" t="str">
        <f>_xlfn.CONCAT(Table1[[#This Row],[Category]],"-",Table1[[#This Row],[City]])</f>
        <v>Lifestyle-Delhi</v>
      </c>
      <c r="O125" t="str">
        <f>LEFT(Table1[[#This Row],[Category]],3)</f>
        <v>Lif</v>
      </c>
      <c r="P125" s="2"/>
    </row>
    <row r="126" spans="1:16" x14ac:dyDescent="0.35">
      <c r="A126" t="s">
        <v>136</v>
      </c>
      <c r="B126" t="s">
        <v>1222</v>
      </c>
      <c r="C126" t="s">
        <v>1224</v>
      </c>
      <c r="D126">
        <v>1163</v>
      </c>
      <c r="E126">
        <v>4</v>
      </c>
      <c r="F126" t="s">
        <v>1338</v>
      </c>
      <c r="G126" t="s">
        <v>1587</v>
      </c>
      <c r="H126" t="s">
        <v>1590</v>
      </c>
      <c r="I126">
        <v>4652</v>
      </c>
      <c r="J126">
        <v>43</v>
      </c>
      <c r="K126" t="s">
        <v>1595</v>
      </c>
      <c r="L126" t="s">
        <v>1597</v>
      </c>
      <c r="M126" t="str">
        <f>IF(Table1[[#This Row],[Quantity]]&gt;2,"Bulk Order","Normal Order")</f>
        <v>Bulk Order</v>
      </c>
      <c r="N126" t="str">
        <f>_xlfn.CONCAT(Table1[[#This Row],[Category]],"-",Table1[[#This Row],[City]])</f>
        <v>Lifestyle-Mumbai</v>
      </c>
      <c r="O126" t="str">
        <f>LEFT(Table1[[#This Row],[Category]],3)</f>
        <v>Lif</v>
      </c>
      <c r="P126" s="2"/>
    </row>
    <row r="127" spans="1:16" x14ac:dyDescent="0.35">
      <c r="A127" t="s">
        <v>137</v>
      </c>
      <c r="B127" t="s">
        <v>1216</v>
      </c>
      <c r="C127" t="s">
        <v>1228</v>
      </c>
      <c r="D127">
        <v>206</v>
      </c>
      <c r="E127">
        <v>4</v>
      </c>
      <c r="F127" t="s">
        <v>1339</v>
      </c>
      <c r="G127" t="s">
        <v>1584</v>
      </c>
      <c r="H127" t="s">
        <v>1590</v>
      </c>
      <c r="I127">
        <v>824</v>
      </c>
      <c r="J127">
        <v>48</v>
      </c>
      <c r="K127" t="s">
        <v>1596</v>
      </c>
      <c r="L127" t="s">
        <v>1597</v>
      </c>
      <c r="M127" t="str">
        <f>IF(Table1[[#This Row],[Quantity]]&gt;2,"Bulk Order","Normal Order")</f>
        <v>Bulk Order</v>
      </c>
      <c r="N127" t="str">
        <f>_xlfn.CONCAT(Table1[[#This Row],[Category]],"-",Table1[[#This Row],[City]])</f>
        <v>Electronics-Chennai</v>
      </c>
      <c r="O127" t="str">
        <f>LEFT(Table1[[#This Row],[Category]],3)</f>
        <v>Ele</v>
      </c>
      <c r="P127" s="2"/>
    </row>
    <row r="128" spans="1:16" x14ac:dyDescent="0.35">
      <c r="A128" t="s">
        <v>138</v>
      </c>
      <c r="B128" t="s">
        <v>1218</v>
      </c>
      <c r="C128" t="s">
        <v>1226</v>
      </c>
      <c r="D128">
        <v>1071</v>
      </c>
      <c r="E128">
        <v>3</v>
      </c>
      <c r="F128" t="s">
        <v>1338</v>
      </c>
      <c r="G128" t="s">
        <v>1589</v>
      </c>
      <c r="H128" t="s">
        <v>1592</v>
      </c>
      <c r="I128">
        <v>3213</v>
      </c>
      <c r="J128">
        <v>55</v>
      </c>
      <c r="K128" t="s">
        <v>1595</v>
      </c>
      <c r="L128" t="s">
        <v>1598</v>
      </c>
      <c r="M128" t="str">
        <f>IF(Table1[[#This Row],[Quantity]]&gt;2,"Bulk Order","Normal Order")</f>
        <v>Bulk Order</v>
      </c>
      <c r="N128" t="str">
        <f>_xlfn.CONCAT(Table1[[#This Row],[Category]],"-",Table1[[#This Row],[City]])</f>
        <v>Home-Bangalore</v>
      </c>
      <c r="O128" t="str">
        <f>LEFT(Table1[[#This Row],[Category]],3)</f>
        <v>Hom</v>
      </c>
      <c r="P128" s="2"/>
    </row>
    <row r="129" spans="1:16" x14ac:dyDescent="0.35">
      <c r="A129" t="s">
        <v>139</v>
      </c>
      <c r="B129" t="s">
        <v>1222</v>
      </c>
      <c r="C129" t="s">
        <v>1224</v>
      </c>
      <c r="D129">
        <v>4187</v>
      </c>
      <c r="E129">
        <v>2</v>
      </c>
      <c r="F129" t="s">
        <v>1340</v>
      </c>
      <c r="G129" t="s">
        <v>1585</v>
      </c>
      <c r="H129" t="s">
        <v>1590</v>
      </c>
      <c r="I129">
        <v>8374</v>
      </c>
      <c r="J129">
        <v>38</v>
      </c>
      <c r="K129" t="s">
        <v>1595</v>
      </c>
      <c r="L129" t="s">
        <v>1599</v>
      </c>
      <c r="M129" t="str">
        <f>IF(Table1[[#This Row],[Quantity]]&gt;2,"Bulk Order","Normal Order")</f>
        <v>Normal Order</v>
      </c>
      <c r="N129" t="str">
        <f>_xlfn.CONCAT(Table1[[#This Row],[Category]],"-",Table1[[#This Row],[City]])</f>
        <v>Lifestyle-Kolkata</v>
      </c>
      <c r="O129" t="str">
        <f>LEFT(Table1[[#This Row],[Category]],3)</f>
        <v>Lif</v>
      </c>
      <c r="P129" s="2"/>
    </row>
    <row r="130" spans="1:16" x14ac:dyDescent="0.35">
      <c r="A130" t="s">
        <v>140</v>
      </c>
      <c r="B130" t="s">
        <v>1212</v>
      </c>
      <c r="C130" t="s">
        <v>1226</v>
      </c>
      <c r="D130">
        <v>3023</v>
      </c>
      <c r="E130">
        <v>2</v>
      </c>
      <c r="F130" t="s">
        <v>1269</v>
      </c>
      <c r="G130" t="s">
        <v>1587</v>
      </c>
      <c r="H130" t="s">
        <v>1593</v>
      </c>
      <c r="I130">
        <v>6046</v>
      </c>
      <c r="J130">
        <v>98</v>
      </c>
      <c r="K130" t="s">
        <v>1595</v>
      </c>
      <c r="L130" t="s">
        <v>1599</v>
      </c>
      <c r="M130" t="str">
        <f>IF(Table1[[#This Row],[Quantity]]&gt;2,"Bulk Order","Normal Order")</f>
        <v>Normal Order</v>
      </c>
      <c r="N130" t="str">
        <f>_xlfn.CONCAT(Table1[[#This Row],[Category]],"-",Table1[[#This Row],[City]])</f>
        <v>Home-Mumbai</v>
      </c>
      <c r="O130" t="str">
        <f>LEFT(Table1[[#This Row],[Category]],3)</f>
        <v>Hom</v>
      </c>
      <c r="P130" s="2"/>
    </row>
    <row r="131" spans="1:16" x14ac:dyDescent="0.35">
      <c r="A131" t="s">
        <v>141</v>
      </c>
      <c r="B131" t="s">
        <v>1221</v>
      </c>
      <c r="C131" t="s">
        <v>1228</v>
      </c>
      <c r="D131">
        <v>1603</v>
      </c>
      <c r="E131">
        <v>1</v>
      </c>
      <c r="F131" t="s">
        <v>1288</v>
      </c>
      <c r="G131" t="s">
        <v>1589</v>
      </c>
      <c r="H131" t="s">
        <v>1590</v>
      </c>
      <c r="I131">
        <v>1603</v>
      </c>
      <c r="J131">
        <v>34</v>
      </c>
      <c r="K131" t="s">
        <v>1595</v>
      </c>
      <c r="L131" t="s">
        <v>1599</v>
      </c>
      <c r="M131" t="str">
        <f>IF(Table1[[#This Row],[Quantity]]&gt;2,"Bulk Order","Normal Order")</f>
        <v>Normal Order</v>
      </c>
      <c r="N131" t="str">
        <f>_xlfn.CONCAT(Table1[[#This Row],[Category]],"-",Table1[[#This Row],[City]])</f>
        <v>Electronics-Bangalore</v>
      </c>
      <c r="O131" t="str">
        <f>LEFT(Table1[[#This Row],[Category]],3)</f>
        <v>Ele</v>
      </c>
      <c r="P131" s="2"/>
    </row>
    <row r="132" spans="1:16" x14ac:dyDescent="0.35">
      <c r="A132" t="s">
        <v>142</v>
      </c>
      <c r="B132" t="s">
        <v>1217</v>
      </c>
      <c r="C132" t="s">
        <v>1224</v>
      </c>
      <c r="D132">
        <v>4338</v>
      </c>
      <c r="E132">
        <v>2</v>
      </c>
      <c r="F132" t="s">
        <v>1341</v>
      </c>
      <c r="G132" t="s">
        <v>1587</v>
      </c>
      <c r="H132" t="s">
        <v>1590</v>
      </c>
      <c r="I132">
        <v>8676</v>
      </c>
      <c r="J132">
        <v>99</v>
      </c>
      <c r="K132" t="s">
        <v>1596</v>
      </c>
      <c r="L132" t="s">
        <v>1598</v>
      </c>
      <c r="M132" t="str">
        <f>IF(Table1[[#This Row],[Quantity]]&gt;2,"Bulk Order","Normal Order")</f>
        <v>Normal Order</v>
      </c>
      <c r="N132" t="str">
        <f>_xlfn.CONCAT(Table1[[#This Row],[Category]],"-",Table1[[#This Row],[City]])</f>
        <v>Lifestyle-Mumbai</v>
      </c>
      <c r="O132" t="str">
        <f>LEFT(Table1[[#This Row],[Category]],3)</f>
        <v>Lif</v>
      </c>
      <c r="P132" s="2"/>
    </row>
    <row r="133" spans="1:16" x14ac:dyDescent="0.35">
      <c r="A133" t="s">
        <v>143</v>
      </c>
      <c r="B133" t="s">
        <v>1223</v>
      </c>
      <c r="C133" t="s">
        <v>1228</v>
      </c>
      <c r="D133">
        <v>1912</v>
      </c>
      <c r="E133">
        <v>1</v>
      </c>
      <c r="F133" t="s">
        <v>1342</v>
      </c>
      <c r="G133" t="s">
        <v>1587</v>
      </c>
      <c r="H133" t="s">
        <v>1592</v>
      </c>
      <c r="I133">
        <v>1912</v>
      </c>
      <c r="J133">
        <v>77</v>
      </c>
      <c r="K133" t="s">
        <v>1595</v>
      </c>
      <c r="L133" t="s">
        <v>1598</v>
      </c>
      <c r="M133" t="str">
        <f>IF(Table1[[#This Row],[Quantity]]&gt;2,"Bulk Order","Normal Order")</f>
        <v>Normal Order</v>
      </c>
      <c r="N133" t="str">
        <f>_xlfn.CONCAT(Table1[[#This Row],[Category]],"-",Table1[[#This Row],[City]])</f>
        <v>Electronics-Mumbai</v>
      </c>
      <c r="O133" t="str">
        <f>LEFT(Table1[[#This Row],[Category]],3)</f>
        <v>Ele</v>
      </c>
      <c r="P133" s="2"/>
    </row>
    <row r="134" spans="1:16" x14ac:dyDescent="0.35">
      <c r="A134" t="s">
        <v>144</v>
      </c>
      <c r="B134" t="s">
        <v>1216</v>
      </c>
      <c r="C134" t="s">
        <v>1227</v>
      </c>
      <c r="D134">
        <v>1530</v>
      </c>
      <c r="E134">
        <v>1</v>
      </c>
      <c r="F134" t="s">
        <v>1343</v>
      </c>
      <c r="G134" t="s">
        <v>1585</v>
      </c>
      <c r="H134" t="s">
        <v>1591</v>
      </c>
      <c r="I134">
        <v>1530</v>
      </c>
      <c r="J134">
        <v>93</v>
      </c>
      <c r="K134" t="s">
        <v>1595</v>
      </c>
      <c r="L134" t="s">
        <v>1598</v>
      </c>
      <c r="M134" t="str">
        <f>IF(Table1[[#This Row],[Quantity]]&gt;2,"Bulk Order","Normal Order")</f>
        <v>Normal Order</v>
      </c>
      <c r="N134" t="str">
        <f>_xlfn.CONCAT(Table1[[#This Row],[Category]],"-",Table1[[#This Row],[City]])</f>
        <v>Accessories-Kolkata</v>
      </c>
      <c r="O134" t="str">
        <f>LEFT(Table1[[#This Row],[Category]],3)</f>
        <v>Acc</v>
      </c>
      <c r="P134" s="2"/>
    </row>
    <row r="135" spans="1:16" x14ac:dyDescent="0.35">
      <c r="A135" t="s">
        <v>145</v>
      </c>
      <c r="B135" t="s">
        <v>1214</v>
      </c>
      <c r="C135" t="s">
        <v>1225</v>
      </c>
      <c r="D135">
        <v>636</v>
      </c>
      <c r="E135">
        <v>4</v>
      </c>
      <c r="F135" t="s">
        <v>1344</v>
      </c>
      <c r="G135" t="s">
        <v>1587</v>
      </c>
      <c r="H135" t="s">
        <v>1590</v>
      </c>
      <c r="I135">
        <v>2544</v>
      </c>
      <c r="J135">
        <v>59</v>
      </c>
      <c r="K135" t="s">
        <v>1594</v>
      </c>
      <c r="L135" t="s">
        <v>1597</v>
      </c>
      <c r="M135" t="str">
        <f>IF(Table1[[#This Row],[Quantity]]&gt;2,"Bulk Order","Normal Order")</f>
        <v>Bulk Order</v>
      </c>
      <c r="N135" t="str">
        <f>_xlfn.CONCAT(Table1[[#This Row],[Category]],"-",Table1[[#This Row],[City]])</f>
        <v>Fitness-Mumbai</v>
      </c>
      <c r="O135" t="str">
        <f>LEFT(Table1[[#This Row],[Category]],3)</f>
        <v>Fit</v>
      </c>
      <c r="P135" s="2"/>
    </row>
    <row r="136" spans="1:16" x14ac:dyDescent="0.35">
      <c r="A136" t="s">
        <v>146</v>
      </c>
      <c r="B136" t="s">
        <v>1221</v>
      </c>
      <c r="C136" t="s">
        <v>1228</v>
      </c>
      <c r="D136">
        <v>581</v>
      </c>
      <c r="E136">
        <v>2</v>
      </c>
      <c r="F136" t="s">
        <v>1345</v>
      </c>
      <c r="G136" t="s">
        <v>1584</v>
      </c>
      <c r="H136" t="s">
        <v>1592</v>
      </c>
      <c r="I136">
        <v>1162</v>
      </c>
      <c r="J136">
        <v>42</v>
      </c>
      <c r="K136" t="s">
        <v>1595</v>
      </c>
      <c r="L136" t="s">
        <v>1599</v>
      </c>
      <c r="M136" t="str">
        <f>IF(Table1[[#This Row],[Quantity]]&gt;2,"Bulk Order","Normal Order")</f>
        <v>Normal Order</v>
      </c>
      <c r="N136" t="str">
        <f>_xlfn.CONCAT(Table1[[#This Row],[Category]],"-",Table1[[#This Row],[City]])</f>
        <v>Electronics-Chennai</v>
      </c>
      <c r="O136" t="str">
        <f>LEFT(Table1[[#This Row],[Category]],3)</f>
        <v>Ele</v>
      </c>
      <c r="P136" s="2"/>
    </row>
    <row r="137" spans="1:16" x14ac:dyDescent="0.35">
      <c r="A137" t="s">
        <v>147</v>
      </c>
      <c r="B137" t="s">
        <v>1222</v>
      </c>
      <c r="C137" t="s">
        <v>1226</v>
      </c>
      <c r="D137">
        <v>3953</v>
      </c>
      <c r="E137">
        <v>2</v>
      </c>
      <c r="F137" t="s">
        <v>1272</v>
      </c>
      <c r="G137" t="s">
        <v>1586</v>
      </c>
      <c r="H137" t="s">
        <v>1592</v>
      </c>
      <c r="I137">
        <v>7906</v>
      </c>
      <c r="J137">
        <v>83</v>
      </c>
      <c r="K137" t="s">
        <v>1595</v>
      </c>
      <c r="L137" t="s">
        <v>1599</v>
      </c>
      <c r="M137" t="str">
        <f>IF(Table1[[#This Row],[Quantity]]&gt;2,"Bulk Order","Normal Order")</f>
        <v>Normal Order</v>
      </c>
      <c r="N137" t="str">
        <f>_xlfn.CONCAT(Table1[[#This Row],[Category]],"-",Table1[[#This Row],[City]])</f>
        <v>Home-Hyderabad</v>
      </c>
      <c r="O137" t="str">
        <f>LEFT(Table1[[#This Row],[Category]],3)</f>
        <v>Hom</v>
      </c>
      <c r="P137" s="2"/>
    </row>
    <row r="138" spans="1:16" x14ac:dyDescent="0.35">
      <c r="A138" t="s">
        <v>148</v>
      </c>
      <c r="B138" t="s">
        <v>1216</v>
      </c>
      <c r="C138" t="s">
        <v>1225</v>
      </c>
      <c r="D138">
        <v>3617</v>
      </c>
      <c r="E138">
        <v>3</v>
      </c>
      <c r="F138" t="s">
        <v>1346</v>
      </c>
      <c r="G138" t="s">
        <v>1589</v>
      </c>
      <c r="H138" t="s">
        <v>1591</v>
      </c>
      <c r="I138">
        <v>10851</v>
      </c>
      <c r="J138">
        <v>38</v>
      </c>
      <c r="K138" t="s">
        <v>1594</v>
      </c>
      <c r="L138" t="s">
        <v>1599</v>
      </c>
      <c r="M138" t="str">
        <f>IF(Table1[[#This Row],[Quantity]]&gt;2,"Bulk Order","Normal Order")</f>
        <v>Bulk Order</v>
      </c>
      <c r="N138" t="str">
        <f>_xlfn.CONCAT(Table1[[#This Row],[Category]],"-",Table1[[#This Row],[City]])</f>
        <v>Fitness-Bangalore</v>
      </c>
      <c r="O138" t="str">
        <f>LEFT(Table1[[#This Row],[Category]],3)</f>
        <v>Fit</v>
      </c>
      <c r="P138" s="2"/>
    </row>
    <row r="139" spans="1:16" x14ac:dyDescent="0.35">
      <c r="A139" t="s">
        <v>149</v>
      </c>
      <c r="B139" t="s">
        <v>1222</v>
      </c>
      <c r="C139" t="s">
        <v>1225</v>
      </c>
      <c r="D139">
        <v>2150</v>
      </c>
      <c r="E139">
        <v>1</v>
      </c>
      <c r="F139" t="s">
        <v>1229</v>
      </c>
      <c r="G139" t="s">
        <v>1587</v>
      </c>
      <c r="H139" t="s">
        <v>1593</v>
      </c>
      <c r="I139">
        <v>2150</v>
      </c>
      <c r="J139">
        <v>80</v>
      </c>
      <c r="K139" t="s">
        <v>1595</v>
      </c>
      <c r="L139" t="s">
        <v>1599</v>
      </c>
      <c r="M139" t="str">
        <f>IF(Table1[[#This Row],[Quantity]]&gt;2,"Bulk Order","Normal Order")</f>
        <v>Normal Order</v>
      </c>
      <c r="N139" t="str">
        <f>_xlfn.CONCAT(Table1[[#This Row],[Category]],"-",Table1[[#This Row],[City]])</f>
        <v>Fitness-Mumbai</v>
      </c>
      <c r="O139" t="str">
        <f>LEFT(Table1[[#This Row],[Category]],3)</f>
        <v>Fit</v>
      </c>
      <c r="P139" s="2"/>
    </row>
    <row r="140" spans="1:16" x14ac:dyDescent="0.35">
      <c r="A140" t="s">
        <v>150</v>
      </c>
      <c r="B140" t="s">
        <v>1217</v>
      </c>
      <c r="C140" t="s">
        <v>1225</v>
      </c>
      <c r="D140">
        <v>4983</v>
      </c>
      <c r="E140">
        <v>3</v>
      </c>
      <c r="F140" t="s">
        <v>1285</v>
      </c>
      <c r="G140" t="s">
        <v>1588</v>
      </c>
      <c r="H140" t="s">
        <v>1591</v>
      </c>
      <c r="I140">
        <v>14949</v>
      </c>
      <c r="J140">
        <v>93</v>
      </c>
      <c r="K140" t="s">
        <v>1594</v>
      </c>
      <c r="L140" t="s">
        <v>1599</v>
      </c>
      <c r="M140" t="str">
        <f>IF(Table1[[#This Row],[Quantity]]&gt;2,"Bulk Order","Normal Order")</f>
        <v>Bulk Order</v>
      </c>
      <c r="N140" t="str">
        <f>_xlfn.CONCAT(Table1[[#This Row],[Category]],"-",Table1[[#This Row],[City]])</f>
        <v>Fitness-Delhi</v>
      </c>
      <c r="O140" t="str">
        <f>LEFT(Table1[[#This Row],[Category]],3)</f>
        <v>Fit</v>
      </c>
      <c r="P140" s="2"/>
    </row>
    <row r="141" spans="1:16" x14ac:dyDescent="0.35">
      <c r="A141" t="s">
        <v>151</v>
      </c>
      <c r="B141" t="s">
        <v>1212</v>
      </c>
      <c r="C141" t="s">
        <v>1228</v>
      </c>
      <c r="D141">
        <v>498</v>
      </c>
      <c r="E141">
        <v>4</v>
      </c>
      <c r="F141" t="s">
        <v>1347</v>
      </c>
      <c r="G141" t="s">
        <v>1585</v>
      </c>
      <c r="H141" t="s">
        <v>1592</v>
      </c>
      <c r="I141">
        <v>1992</v>
      </c>
      <c r="J141">
        <v>30</v>
      </c>
      <c r="K141" t="s">
        <v>1595</v>
      </c>
      <c r="L141" t="s">
        <v>1599</v>
      </c>
      <c r="M141" t="str">
        <f>IF(Table1[[#This Row],[Quantity]]&gt;2,"Bulk Order","Normal Order")</f>
        <v>Bulk Order</v>
      </c>
      <c r="N141" t="str">
        <f>_xlfn.CONCAT(Table1[[#This Row],[Category]],"-",Table1[[#This Row],[City]])</f>
        <v>Electronics-Kolkata</v>
      </c>
      <c r="O141" t="str">
        <f>LEFT(Table1[[#This Row],[Category]],3)</f>
        <v>Ele</v>
      </c>
      <c r="P141" s="2"/>
    </row>
    <row r="142" spans="1:16" x14ac:dyDescent="0.35">
      <c r="A142" t="s">
        <v>152</v>
      </c>
      <c r="B142" t="s">
        <v>1212</v>
      </c>
      <c r="C142" t="s">
        <v>1227</v>
      </c>
      <c r="D142">
        <v>4843</v>
      </c>
      <c r="E142">
        <v>4</v>
      </c>
      <c r="F142" t="s">
        <v>1278</v>
      </c>
      <c r="G142" t="s">
        <v>1589</v>
      </c>
      <c r="H142" t="s">
        <v>1592</v>
      </c>
      <c r="I142">
        <v>19372</v>
      </c>
      <c r="J142">
        <v>82</v>
      </c>
      <c r="K142" t="s">
        <v>1594</v>
      </c>
      <c r="L142" t="s">
        <v>1599</v>
      </c>
      <c r="M142" t="str">
        <f>IF(Table1[[#This Row],[Quantity]]&gt;2,"Bulk Order","Normal Order")</f>
        <v>Bulk Order</v>
      </c>
      <c r="N142" t="str">
        <f>_xlfn.CONCAT(Table1[[#This Row],[Category]],"-",Table1[[#This Row],[City]])</f>
        <v>Accessories-Bangalore</v>
      </c>
      <c r="O142" t="str">
        <f>LEFT(Table1[[#This Row],[Category]],3)</f>
        <v>Acc</v>
      </c>
      <c r="P142" s="2"/>
    </row>
    <row r="143" spans="1:16" x14ac:dyDescent="0.35">
      <c r="A143" t="s">
        <v>153</v>
      </c>
      <c r="B143" t="s">
        <v>1215</v>
      </c>
      <c r="C143" t="s">
        <v>1225</v>
      </c>
      <c r="D143">
        <v>4869</v>
      </c>
      <c r="E143">
        <v>2</v>
      </c>
      <c r="F143" t="s">
        <v>1348</v>
      </c>
      <c r="G143" t="s">
        <v>1588</v>
      </c>
      <c r="H143" t="s">
        <v>1591</v>
      </c>
      <c r="I143">
        <v>9738</v>
      </c>
      <c r="J143">
        <v>89</v>
      </c>
      <c r="K143" t="s">
        <v>1595</v>
      </c>
      <c r="L143" t="s">
        <v>1598</v>
      </c>
      <c r="M143" t="str">
        <f>IF(Table1[[#This Row],[Quantity]]&gt;2,"Bulk Order","Normal Order")</f>
        <v>Normal Order</v>
      </c>
      <c r="N143" t="str">
        <f>_xlfn.CONCAT(Table1[[#This Row],[Category]],"-",Table1[[#This Row],[City]])</f>
        <v>Fitness-Delhi</v>
      </c>
      <c r="O143" t="str">
        <f>LEFT(Table1[[#This Row],[Category]],3)</f>
        <v>Fit</v>
      </c>
      <c r="P143" s="2"/>
    </row>
    <row r="144" spans="1:16" x14ac:dyDescent="0.35">
      <c r="A144" t="s">
        <v>154</v>
      </c>
      <c r="B144" t="s">
        <v>1216</v>
      </c>
      <c r="C144" t="s">
        <v>1228</v>
      </c>
      <c r="D144">
        <v>2184</v>
      </c>
      <c r="E144">
        <v>1</v>
      </c>
      <c r="F144" t="s">
        <v>1349</v>
      </c>
      <c r="G144" t="s">
        <v>1586</v>
      </c>
      <c r="H144" t="s">
        <v>1591</v>
      </c>
      <c r="I144">
        <v>2184</v>
      </c>
      <c r="J144">
        <v>90</v>
      </c>
      <c r="K144" t="s">
        <v>1595</v>
      </c>
      <c r="L144" t="s">
        <v>1599</v>
      </c>
      <c r="M144" t="str">
        <f>IF(Table1[[#This Row],[Quantity]]&gt;2,"Bulk Order","Normal Order")</f>
        <v>Normal Order</v>
      </c>
      <c r="N144" t="str">
        <f>_xlfn.CONCAT(Table1[[#This Row],[Category]],"-",Table1[[#This Row],[City]])</f>
        <v>Electronics-Hyderabad</v>
      </c>
      <c r="O144" t="str">
        <f>LEFT(Table1[[#This Row],[Category]],3)</f>
        <v>Ele</v>
      </c>
      <c r="P144" s="2"/>
    </row>
    <row r="145" spans="1:16" x14ac:dyDescent="0.35">
      <c r="A145" t="s">
        <v>155</v>
      </c>
      <c r="B145" t="s">
        <v>1219</v>
      </c>
      <c r="C145" t="s">
        <v>1227</v>
      </c>
      <c r="D145">
        <v>227</v>
      </c>
      <c r="E145">
        <v>3</v>
      </c>
      <c r="F145" t="s">
        <v>1350</v>
      </c>
      <c r="G145" t="s">
        <v>1584</v>
      </c>
      <c r="H145" t="s">
        <v>1593</v>
      </c>
      <c r="I145">
        <v>681</v>
      </c>
      <c r="J145">
        <v>24</v>
      </c>
      <c r="K145" t="s">
        <v>1595</v>
      </c>
      <c r="L145" t="s">
        <v>1599</v>
      </c>
      <c r="M145" t="str">
        <f>IF(Table1[[#This Row],[Quantity]]&gt;2,"Bulk Order","Normal Order")</f>
        <v>Bulk Order</v>
      </c>
      <c r="N145" t="str">
        <f>_xlfn.CONCAT(Table1[[#This Row],[Category]],"-",Table1[[#This Row],[City]])</f>
        <v>Accessories-Chennai</v>
      </c>
      <c r="O145" t="str">
        <f>LEFT(Table1[[#This Row],[Category]],3)</f>
        <v>Acc</v>
      </c>
      <c r="P145" s="2"/>
    </row>
    <row r="146" spans="1:16" x14ac:dyDescent="0.35">
      <c r="A146" t="s">
        <v>156</v>
      </c>
      <c r="B146" t="s">
        <v>1219</v>
      </c>
      <c r="C146" t="s">
        <v>1226</v>
      </c>
      <c r="D146">
        <v>3292</v>
      </c>
      <c r="E146">
        <v>2</v>
      </c>
      <c r="F146" t="s">
        <v>1351</v>
      </c>
      <c r="G146" t="s">
        <v>1588</v>
      </c>
      <c r="H146" t="s">
        <v>1593</v>
      </c>
      <c r="I146">
        <v>6584</v>
      </c>
      <c r="J146">
        <v>60</v>
      </c>
      <c r="K146" t="s">
        <v>1596</v>
      </c>
      <c r="L146" t="s">
        <v>1598</v>
      </c>
      <c r="M146" t="str">
        <f>IF(Table1[[#This Row],[Quantity]]&gt;2,"Bulk Order","Normal Order")</f>
        <v>Normal Order</v>
      </c>
      <c r="N146" t="str">
        <f>_xlfn.CONCAT(Table1[[#This Row],[Category]],"-",Table1[[#This Row],[City]])</f>
        <v>Home-Delhi</v>
      </c>
      <c r="O146" t="str">
        <f>LEFT(Table1[[#This Row],[Category]],3)</f>
        <v>Hom</v>
      </c>
      <c r="P146" s="2"/>
    </row>
    <row r="147" spans="1:16" x14ac:dyDescent="0.35">
      <c r="A147" t="s">
        <v>157</v>
      </c>
      <c r="B147" t="s">
        <v>1219</v>
      </c>
      <c r="C147" t="s">
        <v>1224</v>
      </c>
      <c r="D147">
        <v>1738</v>
      </c>
      <c r="E147">
        <v>4</v>
      </c>
      <c r="F147" t="s">
        <v>1352</v>
      </c>
      <c r="G147" t="s">
        <v>1587</v>
      </c>
      <c r="H147" t="s">
        <v>1591</v>
      </c>
      <c r="I147">
        <v>6952</v>
      </c>
      <c r="J147">
        <v>84</v>
      </c>
      <c r="K147" t="s">
        <v>1596</v>
      </c>
      <c r="L147" t="s">
        <v>1599</v>
      </c>
      <c r="M147" t="str">
        <f>IF(Table1[[#This Row],[Quantity]]&gt;2,"Bulk Order","Normal Order")</f>
        <v>Bulk Order</v>
      </c>
      <c r="N147" t="str">
        <f>_xlfn.CONCAT(Table1[[#This Row],[Category]],"-",Table1[[#This Row],[City]])</f>
        <v>Lifestyle-Mumbai</v>
      </c>
      <c r="O147" t="str">
        <f>LEFT(Table1[[#This Row],[Category]],3)</f>
        <v>Lif</v>
      </c>
      <c r="P147" s="2"/>
    </row>
    <row r="148" spans="1:16" x14ac:dyDescent="0.35">
      <c r="A148" t="s">
        <v>158</v>
      </c>
      <c r="B148" t="s">
        <v>1216</v>
      </c>
      <c r="C148" t="s">
        <v>1225</v>
      </c>
      <c r="D148">
        <v>2512</v>
      </c>
      <c r="E148">
        <v>1</v>
      </c>
      <c r="F148" t="s">
        <v>1353</v>
      </c>
      <c r="G148" t="s">
        <v>1586</v>
      </c>
      <c r="H148" t="s">
        <v>1593</v>
      </c>
      <c r="I148">
        <v>2512</v>
      </c>
      <c r="J148">
        <v>54</v>
      </c>
      <c r="K148" t="s">
        <v>1595</v>
      </c>
      <c r="L148" t="s">
        <v>1597</v>
      </c>
      <c r="M148" t="str">
        <f>IF(Table1[[#This Row],[Quantity]]&gt;2,"Bulk Order","Normal Order")</f>
        <v>Normal Order</v>
      </c>
      <c r="N148" t="str">
        <f>_xlfn.CONCAT(Table1[[#This Row],[Category]],"-",Table1[[#This Row],[City]])</f>
        <v>Fitness-Hyderabad</v>
      </c>
      <c r="O148" t="str">
        <f>LEFT(Table1[[#This Row],[Category]],3)</f>
        <v>Fit</v>
      </c>
      <c r="P148" s="2"/>
    </row>
    <row r="149" spans="1:16" x14ac:dyDescent="0.35">
      <c r="A149" t="s">
        <v>159</v>
      </c>
      <c r="B149" t="s">
        <v>1217</v>
      </c>
      <c r="C149" t="s">
        <v>1225</v>
      </c>
      <c r="D149">
        <v>4246</v>
      </c>
      <c r="E149">
        <v>4</v>
      </c>
      <c r="F149" t="s">
        <v>1236</v>
      </c>
      <c r="G149" t="s">
        <v>1589</v>
      </c>
      <c r="H149" t="s">
        <v>1591</v>
      </c>
      <c r="I149">
        <v>16984</v>
      </c>
      <c r="J149">
        <v>74</v>
      </c>
      <c r="K149" t="s">
        <v>1595</v>
      </c>
      <c r="L149" t="s">
        <v>1599</v>
      </c>
      <c r="M149" t="str">
        <f>IF(Table1[[#This Row],[Quantity]]&gt;2,"Bulk Order","Normal Order")</f>
        <v>Bulk Order</v>
      </c>
      <c r="N149" t="str">
        <f>_xlfn.CONCAT(Table1[[#This Row],[Category]],"-",Table1[[#This Row],[City]])</f>
        <v>Fitness-Bangalore</v>
      </c>
      <c r="O149" t="str">
        <f>LEFT(Table1[[#This Row],[Category]],3)</f>
        <v>Fit</v>
      </c>
      <c r="P149" s="2"/>
    </row>
    <row r="150" spans="1:16" x14ac:dyDescent="0.35">
      <c r="A150" t="s">
        <v>160</v>
      </c>
      <c r="B150" t="s">
        <v>1222</v>
      </c>
      <c r="C150" t="s">
        <v>1227</v>
      </c>
      <c r="D150">
        <v>3378</v>
      </c>
      <c r="E150">
        <v>1</v>
      </c>
      <c r="F150" t="s">
        <v>1354</v>
      </c>
      <c r="G150" t="s">
        <v>1588</v>
      </c>
      <c r="H150" t="s">
        <v>1593</v>
      </c>
      <c r="I150">
        <v>3378</v>
      </c>
      <c r="J150">
        <v>65</v>
      </c>
      <c r="K150" t="s">
        <v>1595</v>
      </c>
      <c r="L150" t="s">
        <v>1599</v>
      </c>
      <c r="M150" t="str">
        <f>IF(Table1[[#This Row],[Quantity]]&gt;2,"Bulk Order","Normal Order")</f>
        <v>Normal Order</v>
      </c>
      <c r="N150" t="str">
        <f>_xlfn.CONCAT(Table1[[#This Row],[Category]],"-",Table1[[#This Row],[City]])</f>
        <v>Accessories-Delhi</v>
      </c>
      <c r="O150" t="str">
        <f>LEFT(Table1[[#This Row],[Category]],3)</f>
        <v>Acc</v>
      </c>
      <c r="P150" s="2"/>
    </row>
    <row r="151" spans="1:16" x14ac:dyDescent="0.35">
      <c r="A151" t="s">
        <v>161</v>
      </c>
      <c r="B151" t="s">
        <v>1212</v>
      </c>
      <c r="C151" t="s">
        <v>1228</v>
      </c>
      <c r="D151">
        <v>3444</v>
      </c>
      <c r="E151">
        <v>4</v>
      </c>
      <c r="F151" t="s">
        <v>1247</v>
      </c>
      <c r="G151" t="s">
        <v>1589</v>
      </c>
      <c r="H151" t="s">
        <v>1592</v>
      </c>
      <c r="I151">
        <v>13776</v>
      </c>
      <c r="J151">
        <v>82</v>
      </c>
      <c r="K151" t="s">
        <v>1595</v>
      </c>
      <c r="L151" t="s">
        <v>1599</v>
      </c>
      <c r="M151" t="str">
        <f>IF(Table1[[#This Row],[Quantity]]&gt;2,"Bulk Order","Normal Order")</f>
        <v>Bulk Order</v>
      </c>
      <c r="N151" t="str">
        <f>_xlfn.CONCAT(Table1[[#This Row],[Category]],"-",Table1[[#This Row],[City]])</f>
        <v>Electronics-Bangalore</v>
      </c>
      <c r="O151" t="str">
        <f>LEFT(Table1[[#This Row],[Category]],3)</f>
        <v>Ele</v>
      </c>
      <c r="P151" s="2"/>
    </row>
    <row r="152" spans="1:16" x14ac:dyDescent="0.35">
      <c r="A152" t="s">
        <v>162</v>
      </c>
      <c r="B152" t="s">
        <v>1222</v>
      </c>
      <c r="C152" t="s">
        <v>1224</v>
      </c>
      <c r="D152">
        <v>1026</v>
      </c>
      <c r="E152">
        <v>2</v>
      </c>
      <c r="F152" t="s">
        <v>1244</v>
      </c>
      <c r="G152" t="s">
        <v>1589</v>
      </c>
      <c r="H152" t="s">
        <v>1590</v>
      </c>
      <c r="I152">
        <v>2052</v>
      </c>
      <c r="J152">
        <v>37</v>
      </c>
      <c r="K152" t="s">
        <v>1595</v>
      </c>
      <c r="L152" t="s">
        <v>1599</v>
      </c>
      <c r="M152" t="str">
        <f>IF(Table1[[#This Row],[Quantity]]&gt;2,"Bulk Order","Normal Order")</f>
        <v>Normal Order</v>
      </c>
      <c r="N152" t="str">
        <f>_xlfn.CONCAT(Table1[[#This Row],[Category]],"-",Table1[[#This Row],[City]])</f>
        <v>Lifestyle-Bangalore</v>
      </c>
      <c r="O152" t="str">
        <f>LEFT(Table1[[#This Row],[Category]],3)</f>
        <v>Lif</v>
      </c>
      <c r="P152" s="2"/>
    </row>
    <row r="153" spans="1:16" x14ac:dyDescent="0.35">
      <c r="A153" t="s">
        <v>163</v>
      </c>
      <c r="B153" t="s">
        <v>1223</v>
      </c>
      <c r="C153" t="s">
        <v>1227</v>
      </c>
      <c r="D153">
        <v>617</v>
      </c>
      <c r="E153">
        <v>4</v>
      </c>
      <c r="F153" t="s">
        <v>1355</v>
      </c>
      <c r="G153" t="s">
        <v>1588</v>
      </c>
      <c r="H153" t="s">
        <v>1591</v>
      </c>
      <c r="I153">
        <v>2468</v>
      </c>
      <c r="J153">
        <v>90</v>
      </c>
      <c r="K153" t="s">
        <v>1594</v>
      </c>
      <c r="L153" t="s">
        <v>1597</v>
      </c>
      <c r="M153" t="str">
        <f>IF(Table1[[#This Row],[Quantity]]&gt;2,"Bulk Order","Normal Order")</f>
        <v>Bulk Order</v>
      </c>
      <c r="N153" t="str">
        <f>_xlfn.CONCAT(Table1[[#This Row],[Category]],"-",Table1[[#This Row],[City]])</f>
        <v>Accessories-Delhi</v>
      </c>
      <c r="O153" t="str">
        <f>LEFT(Table1[[#This Row],[Category]],3)</f>
        <v>Acc</v>
      </c>
      <c r="P153" s="2"/>
    </row>
    <row r="154" spans="1:16" x14ac:dyDescent="0.35">
      <c r="A154" t="s">
        <v>164</v>
      </c>
      <c r="B154" t="s">
        <v>1219</v>
      </c>
      <c r="C154" t="s">
        <v>1227</v>
      </c>
      <c r="D154">
        <v>2287</v>
      </c>
      <c r="E154">
        <v>3</v>
      </c>
      <c r="F154" t="s">
        <v>1269</v>
      </c>
      <c r="G154" t="s">
        <v>1589</v>
      </c>
      <c r="H154" t="s">
        <v>1592</v>
      </c>
      <c r="I154">
        <v>6861</v>
      </c>
      <c r="J154">
        <v>96</v>
      </c>
      <c r="K154" t="s">
        <v>1595</v>
      </c>
      <c r="L154" t="s">
        <v>1598</v>
      </c>
      <c r="M154" t="str">
        <f>IF(Table1[[#This Row],[Quantity]]&gt;2,"Bulk Order","Normal Order")</f>
        <v>Bulk Order</v>
      </c>
      <c r="N154" t="str">
        <f>_xlfn.CONCAT(Table1[[#This Row],[Category]],"-",Table1[[#This Row],[City]])</f>
        <v>Accessories-Bangalore</v>
      </c>
      <c r="O154" t="str">
        <f>LEFT(Table1[[#This Row],[Category]],3)</f>
        <v>Acc</v>
      </c>
      <c r="P154" s="2"/>
    </row>
    <row r="155" spans="1:16" x14ac:dyDescent="0.35">
      <c r="A155" t="s">
        <v>165</v>
      </c>
      <c r="B155" t="s">
        <v>1222</v>
      </c>
      <c r="C155" t="s">
        <v>1228</v>
      </c>
      <c r="D155">
        <v>1217</v>
      </c>
      <c r="E155">
        <v>2</v>
      </c>
      <c r="F155" t="s">
        <v>1316</v>
      </c>
      <c r="G155" t="s">
        <v>1589</v>
      </c>
      <c r="H155" t="s">
        <v>1590</v>
      </c>
      <c r="I155">
        <v>2434</v>
      </c>
      <c r="J155">
        <v>100</v>
      </c>
      <c r="K155" t="s">
        <v>1595</v>
      </c>
      <c r="L155" t="s">
        <v>1599</v>
      </c>
      <c r="M155" t="str">
        <f>IF(Table1[[#This Row],[Quantity]]&gt;2,"Bulk Order","Normal Order")</f>
        <v>Normal Order</v>
      </c>
      <c r="N155" t="str">
        <f>_xlfn.CONCAT(Table1[[#This Row],[Category]],"-",Table1[[#This Row],[City]])</f>
        <v>Electronics-Bangalore</v>
      </c>
      <c r="O155" t="str">
        <f>LEFT(Table1[[#This Row],[Category]],3)</f>
        <v>Ele</v>
      </c>
      <c r="P155" s="2"/>
    </row>
    <row r="156" spans="1:16" x14ac:dyDescent="0.35">
      <c r="A156" t="s">
        <v>166</v>
      </c>
      <c r="B156" t="s">
        <v>1221</v>
      </c>
      <c r="C156" t="s">
        <v>1225</v>
      </c>
      <c r="D156">
        <v>2599</v>
      </c>
      <c r="E156">
        <v>1</v>
      </c>
      <c r="F156" t="s">
        <v>1356</v>
      </c>
      <c r="G156" t="s">
        <v>1588</v>
      </c>
      <c r="H156" t="s">
        <v>1593</v>
      </c>
      <c r="I156">
        <v>2599</v>
      </c>
      <c r="J156">
        <v>78</v>
      </c>
      <c r="K156" t="s">
        <v>1595</v>
      </c>
      <c r="L156" t="s">
        <v>1598</v>
      </c>
      <c r="M156" t="str">
        <f>IF(Table1[[#This Row],[Quantity]]&gt;2,"Bulk Order","Normal Order")</f>
        <v>Normal Order</v>
      </c>
      <c r="N156" t="str">
        <f>_xlfn.CONCAT(Table1[[#This Row],[Category]],"-",Table1[[#This Row],[City]])</f>
        <v>Fitness-Delhi</v>
      </c>
      <c r="O156" t="str">
        <f>LEFT(Table1[[#This Row],[Category]],3)</f>
        <v>Fit</v>
      </c>
      <c r="P156" s="2"/>
    </row>
    <row r="157" spans="1:16" x14ac:dyDescent="0.35">
      <c r="A157" t="s">
        <v>167</v>
      </c>
      <c r="B157" t="s">
        <v>1218</v>
      </c>
      <c r="C157" t="s">
        <v>1224</v>
      </c>
      <c r="D157">
        <v>3761</v>
      </c>
      <c r="E157">
        <v>3</v>
      </c>
      <c r="F157" t="s">
        <v>1308</v>
      </c>
      <c r="G157" t="s">
        <v>1585</v>
      </c>
      <c r="H157" t="s">
        <v>1590</v>
      </c>
      <c r="I157">
        <v>11283</v>
      </c>
      <c r="J157">
        <v>64</v>
      </c>
      <c r="K157" t="s">
        <v>1595</v>
      </c>
      <c r="L157" t="s">
        <v>1598</v>
      </c>
      <c r="M157" t="str">
        <f>IF(Table1[[#This Row],[Quantity]]&gt;2,"Bulk Order","Normal Order")</f>
        <v>Bulk Order</v>
      </c>
      <c r="N157" t="str">
        <f>_xlfn.CONCAT(Table1[[#This Row],[Category]],"-",Table1[[#This Row],[City]])</f>
        <v>Lifestyle-Kolkata</v>
      </c>
      <c r="O157" t="str">
        <f>LEFT(Table1[[#This Row],[Category]],3)</f>
        <v>Lif</v>
      </c>
      <c r="P157" s="2"/>
    </row>
    <row r="158" spans="1:16" x14ac:dyDescent="0.35">
      <c r="A158" t="s">
        <v>168</v>
      </c>
      <c r="B158" t="s">
        <v>1218</v>
      </c>
      <c r="C158" t="s">
        <v>1228</v>
      </c>
      <c r="D158">
        <v>2818</v>
      </c>
      <c r="E158">
        <v>2</v>
      </c>
      <c r="F158" t="s">
        <v>1357</v>
      </c>
      <c r="G158" t="s">
        <v>1586</v>
      </c>
      <c r="H158" t="s">
        <v>1590</v>
      </c>
      <c r="I158">
        <v>5636</v>
      </c>
      <c r="J158">
        <v>34</v>
      </c>
      <c r="K158" t="s">
        <v>1595</v>
      </c>
      <c r="L158" t="s">
        <v>1598</v>
      </c>
      <c r="M158" t="str">
        <f>IF(Table1[[#This Row],[Quantity]]&gt;2,"Bulk Order","Normal Order")</f>
        <v>Normal Order</v>
      </c>
      <c r="N158" t="str">
        <f>_xlfn.CONCAT(Table1[[#This Row],[Category]],"-",Table1[[#This Row],[City]])</f>
        <v>Electronics-Hyderabad</v>
      </c>
      <c r="O158" t="str">
        <f>LEFT(Table1[[#This Row],[Category]],3)</f>
        <v>Ele</v>
      </c>
      <c r="P158" s="2"/>
    </row>
    <row r="159" spans="1:16" x14ac:dyDescent="0.35">
      <c r="A159" t="s">
        <v>169</v>
      </c>
      <c r="B159" t="s">
        <v>1223</v>
      </c>
      <c r="C159" t="s">
        <v>1228</v>
      </c>
      <c r="D159">
        <v>255</v>
      </c>
      <c r="E159">
        <v>3</v>
      </c>
      <c r="F159" t="s">
        <v>1336</v>
      </c>
      <c r="G159" t="s">
        <v>1584</v>
      </c>
      <c r="H159" t="s">
        <v>1592</v>
      </c>
      <c r="I159">
        <v>765</v>
      </c>
      <c r="J159">
        <v>47</v>
      </c>
      <c r="K159" t="s">
        <v>1595</v>
      </c>
      <c r="L159" t="s">
        <v>1598</v>
      </c>
      <c r="M159" t="str">
        <f>IF(Table1[[#This Row],[Quantity]]&gt;2,"Bulk Order","Normal Order")</f>
        <v>Bulk Order</v>
      </c>
      <c r="N159" t="str">
        <f>_xlfn.CONCAT(Table1[[#This Row],[Category]],"-",Table1[[#This Row],[City]])</f>
        <v>Electronics-Chennai</v>
      </c>
      <c r="O159" t="str">
        <f>LEFT(Table1[[#This Row],[Category]],3)</f>
        <v>Ele</v>
      </c>
      <c r="P159" s="2"/>
    </row>
    <row r="160" spans="1:16" x14ac:dyDescent="0.35">
      <c r="A160" t="s">
        <v>170</v>
      </c>
      <c r="B160" t="s">
        <v>1219</v>
      </c>
      <c r="C160" t="s">
        <v>1224</v>
      </c>
      <c r="D160">
        <v>3586</v>
      </c>
      <c r="E160">
        <v>3</v>
      </c>
      <c r="F160" t="s">
        <v>1358</v>
      </c>
      <c r="G160" t="s">
        <v>1588</v>
      </c>
      <c r="H160" t="s">
        <v>1593</v>
      </c>
      <c r="I160">
        <v>10758</v>
      </c>
      <c r="J160">
        <v>47</v>
      </c>
      <c r="K160" t="s">
        <v>1595</v>
      </c>
      <c r="L160" t="s">
        <v>1598</v>
      </c>
      <c r="M160" t="str">
        <f>IF(Table1[[#This Row],[Quantity]]&gt;2,"Bulk Order","Normal Order")</f>
        <v>Bulk Order</v>
      </c>
      <c r="N160" t="str">
        <f>_xlfn.CONCAT(Table1[[#This Row],[Category]],"-",Table1[[#This Row],[City]])</f>
        <v>Lifestyle-Delhi</v>
      </c>
      <c r="O160" t="str">
        <f>LEFT(Table1[[#This Row],[Category]],3)</f>
        <v>Lif</v>
      </c>
      <c r="P160" s="2"/>
    </row>
    <row r="161" spans="1:16" x14ac:dyDescent="0.35">
      <c r="A161" t="s">
        <v>171</v>
      </c>
      <c r="B161" t="s">
        <v>1216</v>
      </c>
      <c r="C161" t="s">
        <v>1226</v>
      </c>
      <c r="D161">
        <v>652</v>
      </c>
      <c r="E161">
        <v>4</v>
      </c>
      <c r="F161" t="s">
        <v>1359</v>
      </c>
      <c r="G161" t="s">
        <v>1587</v>
      </c>
      <c r="H161" t="s">
        <v>1593</v>
      </c>
      <c r="I161">
        <v>2608</v>
      </c>
      <c r="J161">
        <v>43</v>
      </c>
      <c r="K161" t="s">
        <v>1595</v>
      </c>
      <c r="L161" t="s">
        <v>1597</v>
      </c>
      <c r="M161" t="str">
        <f>IF(Table1[[#This Row],[Quantity]]&gt;2,"Bulk Order","Normal Order")</f>
        <v>Bulk Order</v>
      </c>
      <c r="N161" t="str">
        <f>_xlfn.CONCAT(Table1[[#This Row],[Category]],"-",Table1[[#This Row],[City]])</f>
        <v>Home-Mumbai</v>
      </c>
      <c r="O161" t="str">
        <f>LEFT(Table1[[#This Row],[Category]],3)</f>
        <v>Hom</v>
      </c>
      <c r="P161" s="2"/>
    </row>
    <row r="162" spans="1:16" x14ac:dyDescent="0.35">
      <c r="A162" t="s">
        <v>172</v>
      </c>
      <c r="B162" t="s">
        <v>1216</v>
      </c>
      <c r="C162" t="s">
        <v>1226</v>
      </c>
      <c r="D162">
        <v>386</v>
      </c>
      <c r="E162">
        <v>2</v>
      </c>
      <c r="F162" t="s">
        <v>1360</v>
      </c>
      <c r="G162" t="s">
        <v>1587</v>
      </c>
      <c r="H162" t="s">
        <v>1592</v>
      </c>
      <c r="I162">
        <v>772</v>
      </c>
      <c r="J162">
        <v>60</v>
      </c>
      <c r="K162" t="s">
        <v>1595</v>
      </c>
      <c r="L162" t="s">
        <v>1599</v>
      </c>
      <c r="M162" t="str">
        <f>IF(Table1[[#This Row],[Quantity]]&gt;2,"Bulk Order","Normal Order")</f>
        <v>Normal Order</v>
      </c>
      <c r="N162" t="str">
        <f>_xlfn.CONCAT(Table1[[#This Row],[Category]],"-",Table1[[#This Row],[City]])</f>
        <v>Home-Mumbai</v>
      </c>
      <c r="O162" t="str">
        <f>LEFT(Table1[[#This Row],[Category]],3)</f>
        <v>Hom</v>
      </c>
      <c r="P162" s="2"/>
    </row>
    <row r="163" spans="1:16" x14ac:dyDescent="0.35">
      <c r="A163" t="s">
        <v>173</v>
      </c>
      <c r="B163" t="s">
        <v>1221</v>
      </c>
      <c r="C163" t="s">
        <v>1225</v>
      </c>
      <c r="D163">
        <v>1736</v>
      </c>
      <c r="E163">
        <v>2</v>
      </c>
      <c r="F163" t="s">
        <v>1361</v>
      </c>
      <c r="G163" t="s">
        <v>1587</v>
      </c>
      <c r="H163" t="s">
        <v>1592</v>
      </c>
      <c r="I163">
        <v>3472</v>
      </c>
      <c r="J163">
        <v>56</v>
      </c>
      <c r="K163" t="s">
        <v>1595</v>
      </c>
      <c r="L163" t="s">
        <v>1598</v>
      </c>
      <c r="M163" t="str">
        <f>IF(Table1[[#This Row],[Quantity]]&gt;2,"Bulk Order","Normal Order")</f>
        <v>Normal Order</v>
      </c>
      <c r="N163" t="str">
        <f>_xlfn.CONCAT(Table1[[#This Row],[Category]],"-",Table1[[#This Row],[City]])</f>
        <v>Fitness-Mumbai</v>
      </c>
      <c r="O163" t="str">
        <f>LEFT(Table1[[#This Row],[Category]],3)</f>
        <v>Fit</v>
      </c>
      <c r="P163" s="2"/>
    </row>
    <row r="164" spans="1:16" x14ac:dyDescent="0.35">
      <c r="A164" t="s">
        <v>174</v>
      </c>
      <c r="B164" t="s">
        <v>1223</v>
      </c>
      <c r="C164" t="s">
        <v>1228</v>
      </c>
      <c r="D164">
        <v>2920</v>
      </c>
      <c r="E164">
        <v>2</v>
      </c>
      <c r="F164" t="s">
        <v>1362</v>
      </c>
      <c r="G164" t="s">
        <v>1587</v>
      </c>
      <c r="H164" t="s">
        <v>1593</v>
      </c>
      <c r="I164">
        <v>5840</v>
      </c>
      <c r="J164">
        <v>85</v>
      </c>
      <c r="K164" t="s">
        <v>1595</v>
      </c>
      <c r="L164" t="s">
        <v>1598</v>
      </c>
      <c r="M164" t="str">
        <f>IF(Table1[[#This Row],[Quantity]]&gt;2,"Bulk Order","Normal Order")</f>
        <v>Normal Order</v>
      </c>
      <c r="N164" t="str">
        <f>_xlfn.CONCAT(Table1[[#This Row],[Category]],"-",Table1[[#This Row],[City]])</f>
        <v>Electronics-Mumbai</v>
      </c>
      <c r="O164" t="str">
        <f>LEFT(Table1[[#This Row],[Category]],3)</f>
        <v>Ele</v>
      </c>
      <c r="P164" s="2"/>
    </row>
    <row r="165" spans="1:16" x14ac:dyDescent="0.35">
      <c r="A165" t="s">
        <v>175</v>
      </c>
      <c r="B165" t="s">
        <v>1220</v>
      </c>
      <c r="C165" t="s">
        <v>1225</v>
      </c>
      <c r="D165">
        <v>1498</v>
      </c>
      <c r="E165">
        <v>3</v>
      </c>
      <c r="F165" t="s">
        <v>1363</v>
      </c>
      <c r="G165" t="s">
        <v>1588</v>
      </c>
      <c r="H165" t="s">
        <v>1590</v>
      </c>
      <c r="I165">
        <v>4494</v>
      </c>
      <c r="J165">
        <v>55</v>
      </c>
      <c r="K165" t="s">
        <v>1595</v>
      </c>
      <c r="L165" t="s">
        <v>1599</v>
      </c>
      <c r="M165" t="str">
        <f>IF(Table1[[#This Row],[Quantity]]&gt;2,"Bulk Order","Normal Order")</f>
        <v>Bulk Order</v>
      </c>
      <c r="N165" t="str">
        <f>_xlfn.CONCAT(Table1[[#This Row],[Category]],"-",Table1[[#This Row],[City]])</f>
        <v>Fitness-Delhi</v>
      </c>
      <c r="O165" t="str">
        <f>LEFT(Table1[[#This Row],[Category]],3)</f>
        <v>Fit</v>
      </c>
      <c r="P165" s="2"/>
    </row>
    <row r="166" spans="1:16" x14ac:dyDescent="0.35">
      <c r="A166" t="s">
        <v>176</v>
      </c>
      <c r="B166" t="s">
        <v>1219</v>
      </c>
      <c r="C166" t="s">
        <v>1228</v>
      </c>
      <c r="D166">
        <v>1734</v>
      </c>
      <c r="E166">
        <v>2</v>
      </c>
      <c r="F166" t="s">
        <v>1359</v>
      </c>
      <c r="G166" t="s">
        <v>1586</v>
      </c>
      <c r="H166" t="s">
        <v>1591</v>
      </c>
      <c r="I166">
        <v>3468</v>
      </c>
      <c r="J166">
        <v>88</v>
      </c>
      <c r="K166" t="s">
        <v>1595</v>
      </c>
      <c r="L166" t="s">
        <v>1599</v>
      </c>
      <c r="M166" t="str">
        <f>IF(Table1[[#This Row],[Quantity]]&gt;2,"Bulk Order","Normal Order")</f>
        <v>Normal Order</v>
      </c>
      <c r="N166" t="str">
        <f>_xlfn.CONCAT(Table1[[#This Row],[Category]],"-",Table1[[#This Row],[City]])</f>
        <v>Electronics-Hyderabad</v>
      </c>
      <c r="O166" t="str">
        <f>LEFT(Table1[[#This Row],[Category]],3)</f>
        <v>Ele</v>
      </c>
      <c r="P166" s="2"/>
    </row>
    <row r="167" spans="1:16" x14ac:dyDescent="0.35">
      <c r="A167" t="s">
        <v>177</v>
      </c>
      <c r="B167" t="s">
        <v>1219</v>
      </c>
      <c r="C167" t="s">
        <v>1224</v>
      </c>
      <c r="D167">
        <v>4825</v>
      </c>
      <c r="E167">
        <v>2</v>
      </c>
      <c r="F167" t="s">
        <v>1364</v>
      </c>
      <c r="G167" t="s">
        <v>1588</v>
      </c>
      <c r="H167" t="s">
        <v>1590</v>
      </c>
      <c r="I167">
        <v>9650</v>
      </c>
      <c r="J167">
        <v>86</v>
      </c>
      <c r="K167" t="s">
        <v>1595</v>
      </c>
      <c r="L167" t="s">
        <v>1597</v>
      </c>
      <c r="M167" t="str">
        <f>IF(Table1[[#This Row],[Quantity]]&gt;2,"Bulk Order","Normal Order")</f>
        <v>Normal Order</v>
      </c>
      <c r="N167" t="str">
        <f>_xlfn.CONCAT(Table1[[#This Row],[Category]],"-",Table1[[#This Row],[City]])</f>
        <v>Lifestyle-Delhi</v>
      </c>
      <c r="O167" t="str">
        <f>LEFT(Table1[[#This Row],[Category]],3)</f>
        <v>Lif</v>
      </c>
      <c r="P167" s="2"/>
    </row>
    <row r="168" spans="1:16" x14ac:dyDescent="0.35">
      <c r="A168" t="s">
        <v>178</v>
      </c>
      <c r="B168" t="s">
        <v>1219</v>
      </c>
      <c r="C168" t="s">
        <v>1227</v>
      </c>
      <c r="D168">
        <v>4632</v>
      </c>
      <c r="E168">
        <v>4</v>
      </c>
      <c r="F168" t="s">
        <v>1254</v>
      </c>
      <c r="G168" t="s">
        <v>1588</v>
      </c>
      <c r="H168" t="s">
        <v>1590</v>
      </c>
      <c r="I168">
        <v>18528</v>
      </c>
      <c r="J168">
        <v>44</v>
      </c>
      <c r="K168" t="s">
        <v>1595</v>
      </c>
      <c r="L168" t="s">
        <v>1599</v>
      </c>
      <c r="M168" t="str">
        <f>IF(Table1[[#This Row],[Quantity]]&gt;2,"Bulk Order","Normal Order")</f>
        <v>Bulk Order</v>
      </c>
      <c r="N168" t="str">
        <f>_xlfn.CONCAT(Table1[[#This Row],[Category]],"-",Table1[[#This Row],[City]])</f>
        <v>Accessories-Delhi</v>
      </c>
      <c r="O168" t="str">
        <f>LEFT(Table1[[#This Row],[Category]],3)</f>
        <v>Acc</v>
      </c>
      <c r="P168" s="2"/>
    </row>
    <row r="169" spans="1:16" x14ac:dyDescent="0.35">
      <c r="A169" t="s">
        <v>179</v>
      </c>
      <c r="B169" t="s">
        <v>1222</v>
      </c>
      <c r="C169" t="s">
        <v>1227</v>
      </c>
      <c r="D169">
        <v>2785</v>
      </c>
      <c r="E169">
        <v>2</v>
      </c>
      <c r="F169" t="s">
        <v>1284</v>
      </c>
      <c r="G169" t="s">
        <v>1588</v>
      </c>
      <c r="H169" t="s">
        <v>1593</v>
      </c>
      <c r="I169">
        <v>5570</v>
      </c>
      <c r="J169">
        <v>95</v>
      </c>
      <c r="K169" t="s">
        <v>1595</v>
      </c>
      <c r="L169" t="s">
        <v>1599</v>
      </c>
      <c r="M169" t="str">
        <f>IF(Table1[[#This Row],[Quantity]]&gt;2,"Bulk Order","Normal Order")</f>
        <v>Normal Order</v>
      </c>
      <c r="N169" t="str">
        <f>_xlfn.CONCAT(Table1[[#This Row],[Category]],"-",Table1[[#This Row],[City]])</f>
        <v>Accessories-Delhi</v>
      </c>
      <c r="O169" t="str">
        <f>LEFT(Table1[[#This Row],[Category]],3)</f>
        <v>Acc</v>
      </c>
      <c r="P169" s="2"/>
    </row>
    <row r="170" spans="1:16" x14ac:dyDescent="0.35">
      <c r="A170" t="s">
        <v>180</v>
      </c>
      <c r="B170" t="s">
        <v>1220</v>
      </c>
      <c r="C170" t="s">
        <v>1224</v>
      </c>
      <c r="D170">
        <v>2640</v>
      </c>
      <c r="E170">
        <v>3</v>
      </c>
      <c r="F170" t="s">
        <v>1365</v>
      </c>
      <c r="G170" t="s">
        <v>1587</v>
      </c>
      <c r="H170" t="s">
        <v>1590</v>
      </c>
      <c r="I170">
        <v>7920</v>
      </c>
      <c r="J170">
        <v>50</v>
      </c>
      <c r="K170" t="s">
        <v>1594</v>
      </c>
      <c r="L170" t="s">
        <v>1599</v>
      </c>
      <c r="M170" t="str">
        <f>IF(Table1[[#This Row],[Quantity]]&gt;2,"Bulk Order","Normal Order")</f>
        <v>Bulk Order</v>
      </c>
      <c r="N170" t="str">
        <f>_xlfn.CONCAT(Table1[[#This Row],[Category]],"-",Table1[[#This Row],[City]])</f>
        <v>Lifestyle-Mumbai</v>
      </c>
      <c r="O170" t="str">
        <f>LEFT(Table1[[#This Row],[Category]],3)</f>
        <v>Lif</v>
      </c>
      <c r="P170" s="2"/>
    </row>
    <row r="171" spans="1:16" x14ac:dyDescent="0.35">
      <c r="A171" t="s">
        <v>181</v>
      </c>
      <c r="B171" t="s">
        <v>1212</v>
      </c>
      <c r="C171" t="s">
        <v>1225</v>
      </c>
      <c r="D171">
        <v>2517</v>
      </c>
      <c r="E171">
        <v>1</v>
      </c>
      <c r="F171" t="s">
        <v>1366</v>
      </c>
      <c r="G171" t="s">
        <v>1587</v>
      </c>
      <c r="H171" t="s">
        <v>1590</v>
      </c>
      <c r="I171">
        <v>2517</v>
      </c>
      <c r="J171">
        <v>100</v>
      </c>
      <c r="K171" t="s">
        <v>1595</v>
      </c>
      <c r="L171" t="s">
        <v>1599</v>
      </c>
      <c r="M171" t="str">
        <f>IF(Table1[[#This Row],[Quantity]]&gt;2,"Bulk Order","Normal Order")</f>
        <v>Normal Order</v>
      </c>
      <c r="N171" t="str">
        <f>_xlfn.CONCAT(Table1[[#This Row],[Category]],"-",Table1[[#This Row],[City]])</f>
        <v>Fitness-Mumbai</v>
      </c>
      <c r="O171" t="str">
        <f>LEFT(Table1[[#This Row],[Category]],3)</f>
        <v>Fit</v>
      </c>
      <c r="P171" s="2"/>
    </row>
    <row r="172" spans="1:16" x14ac:dyDescent="0.35">
      <c r="A172" t="s">
        <v>182</v>
      </c>
      <c r="B172" t="s">
        <v>1212</v>
      </c>
      <c r="C172" t="s">
        <v>1225</v>
      </c>
      <c r="D172">
        <v>1969</v>
      </c>
      <c r="E172">
        <v>2</v>
      </c>
      <c r="F172" t="s">
        <v>1367</v>
      </c>
      <c r="G172" t="s">
        <v>1589</v>
      </c>
      <c r="H172" t="s">
        <v>1593</v>
      </c>
      <c r="I172">
        <v>3938</v>
      </c>
      <c r="J172">
        <v>40</v>
      </c>
      <c r="K172" t="s">
        <v>1594</v>
      </c>
      <c r="L172" t="s">
        <v>1599</v>
      </c>
      <c r="M172" t="str">
        <f>IF(Table1[[#This Row],[Quantity]]&gt;2,"Bulk Order","Normal Order")</f>
        <v>Normal Order</v>
      </c>
      <c r="N172" t="str">
        <f>_xlfn.CONCAT(Table1[[#This Row],[Category]],"-",Table1[[#This Row],[City]])</f>
        <v>Fitness-Bangalore</v>
      </c>
      <c r="O172" t="str">
        <f>LEFT(Table1[[#This Row],[Category]],3)</f>
        <v>Fit</v>
      </c>
      <c r="P172" s="2"/>
    </row>
    <row r="173" spans="1:16" x14ac:dyDescent="0.35">
      <c r="A173" t="s">
        <v>183</v>
      </c>
      <c r="B173" t="s">
        <v>1216</v>
      </c>
      <c r="C173" t="s">
        <v>1228</v>
      </c>
      <c r="D173">
        <v>2802</v>
      </c>
      <c r="E173">
        <v>3</v>
      </c>
      <c r="F173" t="s">
        <v>1368</v>
      </c>
      <c r="G173" t="s">
        <v>1588</v>
      </c>
      <c r="H173" t="s">
        <v>1593</v>
      </c>
      <c r="I173">
        <v>8406</v>
      </c>
      <c r="J173">
        <v>79</v>
      </c>
      <c r="K173" t="s">
        <v>1596</v>
      </c>
      <c r="L173" t="s">
        <v>1599</v>
      </c>
      <c r="M173" t="str">
        <f>IF(Table1[[#This Row],[Quantity]]&gt;2,"Bulk Order","Normal Order")</f>
        <v>Bulk Order</v>
      </c>
      <c r="N173" t="str">
        <f>_xlfn.CONCAT(Table1[[#This Row],[Category]],"-",Table1[[#This Row],[City]])</f>
        <v>Electronics-Delhi</v>
      </c>
      <c r="O173" t="str">
        <f>LEFT(Table1[[#This Row],[Category]],3)</f>
        <v>Ele</v>
      </c>
      <c r="P173" s="2"/>
    </row>
    <row r="174" spans="1:16" x14ac:dyDescent="0.35">
      <c r="A174" t="s">
        <v>184</v>
      </c>
      <c r="B174" t="s">
        <v>1215</v>
      </c>
      <c r="C174" t="s">
        <v>1228</v>
      </c>
      <c r="D174">
        <v>3413</v>
      </c>
      <c r="E174">
        <v>4</v>
      </c>
      <c r="F174" t="s">
        <v>1369</v>
      </c>
      <c r="G174" t="s">
        <v>1585</v>
      </c>
      <c r="H174" t="s">
        <v>1593</v>
      </c>
      <c r="I174">
        <v>13652</v>
      </c>
      <c r="J174">
        <v>46</v>
      </c>
      <c r="K174" t="s">
        <v>1595</v>
      </c>
      <c r="L174" t="s">
        <v>1597</v>
      </c>
      <c r="M174" t="str">
        <f>IF(Table1[[#This Row],[Quantity]]&gt;2,"Bulk Order","Normal Order")</f>
        <v>Bulk Order</v>
      </c>
      <c r="N174" t="str">
        <f>_xlfn.CONCAT(Table1[[#This Row],[Category]],"-",Table1[[#This Row],[City]])</f>
        <v>Electronics-Kolkata</v>
      </c>
      <c r="O174" t="str">
        <f>LEFT(Table1[[#This Row],[Category]],3)</f>
        <v>Ele</v>
      </c>
      <c r="P174" s="2"/>
    </row>
    <row r="175" spans="1:16" x14ac:dyDescent="0.35">
      <c r="A175" t="s">
        <v>185</v>
      </c>
      <c r="B175" t="s">
        <v>1223</v>
      </c>
      <c r="C175" t="s">
        <v>1224</v>
      </c>
      <c r="D175">
        <v>4004</v>
      </c>
      <c r="E175">
        <v>2</v>
      </c>
      <c r="F175" t="s">
        <v>1370</v>
      </c>
      <c r="G175" t="s">
        <v>1588</v>
      </c>
      <c r="H175" t="s">
        <v>1591</v>
      </c>
      <c r="I175">
        <v>8008</v>
      </c>
      <c r="J175">
        <v>25</v>
      </c>
      <c r="K175" t="s">
        <v>1594</v>
      </c>
      <c r="L175" t="s">
        <v>1599</v>
      </c>
      <c r="M175" t="str">
        <f>IF(Table1[[#This Row],[Quantity]]&gt;2,"Bulk Order","Normal Order")</f>
        <v>Normal Order</v>
      </c>
      <c r="N175" t="str">
        <f>_xlfn.CONCAT(Table1[[#This Row],[Category]],"-",Table1[[#This Row],[City]])</f>
        <v>Lifestyle-Delhi</v>
      </c>
      <c r="O175" t="str">
        <f>LEFT(Table1[[#This Row],[Category]],3)</f>
        <v>Lif</v>
      </c>
      <c r="P175" s="2"/>
    </row>
    <row r="176" spans="1:16" x14ac:dyDescent="0.35">
      <c r="A176" t="s">
        <v>186</v>
      </c>
      <c r="B176" t="s">
        <v>1220</v>
      </c>
      <c r="C176" t="s">
        <v>1224</v>
      </c>
      <c r="D176">
        <v>3520</v>
      </c>
      <c r="E176">
        <v>1</v>
      </c>
      <c r="F176" t="s">
        <v>1371</v>
      </c>
      <c r="G176" t="s">
        <v>1587</v>
      </c>
      <c r="H176" t="s">
        <v>1593</v>
      </c>
      <c r="I176">
        <v>3520</v>
      </c>
      <c r="J176">
        <v>94</v>
      </c>
      <c r="K176" t="s">
        <v>1595</v>
      </c>
      <c r="L176" t="s">
        <v>1599</v>
      </c>
      <c r="M176" t="str">
        <f>IF(Table1[[#This Row],[Quantity]]&gt;2,"Bulk Order","Normal Order")</f>
        <v>Normal Order</v>
      </c>
      <c r="N176" t="str">
        <f>_xlfn.CONCAT(Table1[[#This Row],[Category]],"-",Table1[[#This Row],[City]])</f>
        <v>Lifestyle-Mumbai</v>
      </c>
      <c r="O176" t="str">
        <f>LEFT(Table1[[#This Row],[Category]],3)</f>
        <v>Lif</v>
      </c>
      <c r="P176" s="2"/>
    </row>
    <row r="177" spans="1:16" x14ac:dyDescent="0.35">
      <c r="A177" t="s">
        <v>187</v>
      </c>
      <c r="B177" t="s">
        <v>1212</v>
      </c>
      <c r="C177" t="s">
        <v>1227</v>
      </c>
      <c r="D177">
        <v>2890</v>
      </c>
      <c r="E177">
        <v>2</v>
      </c>
      <c r="F177" t="s">
        <v>1372</v>
      </c>
      <c r="G177" t="s">
        <v>1584</v>
      </c>
      <c r="H177" t="s">
        <v>1591</v>
      </c>
      <c r="I177">
        <v>5780</v>
      </c>
      <c r="J177">
        <v>64</v>
      </c>
      <c r="K177" t="s">
        <v>1595</v>
      </c>
      <c r="L177" t="s">
        <v>1599</v>
      </c>
      <c r="M177" t="str">
        <f>IF(Table1[[#This Row],[Quantity]]&gt;2,"Bulk Order","Normal Order")</f>
        <v>Normal Order</v>
      </c>
      <c r="N177" t="str">
        <f>_xlfn.CONCAT(Table1[[#This Row],[Category]],"-",Table1[[#This Row],[City]])</f>
        <v>Accessories-Chennai</v>
      </c>
      <c r="O177" t="str">
        <f>LEFT(Table1[[#This Row],[Category]],3)</f>
        <v>Acc</v>
      </c>
      <c r="P177" s="2"/>
    </row>
    <row r="178" spans="1:16" x14ac:dyDescent="0.35">
      <c r="A178" t="s">
        <v>188</v>
      </c>
      <c r="B178" t="s">
        <v>1219</v>
      </c>
      <c r="C178" t="s">
        <v>1226</v>
      </c>
      <c r="D178">
        <v>443</v>
      </c>
      <c r="E178">
        <v>2</v>
      </c>
      <c r="F178" t="s">
        <v>1373</v>
      </c>
      <c r="G178" t="s">
        <v>1589</v>
      </c>
      <c r="H178" t="s">
        <v>1593</v>
      </c>
      <c r="I178">
        <v>886</v>
      </c>
      <c r="J178">
        <v>97</v>
      </c>
      <c r="K178" t="s">
        <v>1595</v>
      </c>
      <c r="L178" t="s">
        <v>1597</v>
      </c>
      <c r="M178" t="str">
        <f>IF(Table1[[#This Row],[Quantity]]&gt;2,"Bulk Order","Normal Order")</f>
        <v>Normal Order</v>
      </c>
      <c r="N178" t="str">
        <f>_xlfn.CONCAT(Table1[[#This Row],[Category]],"-",Table1[[#This Row],[City]])</f>
        <v>Home-Bangalore</v>
      </c>
      <c r="O178" t="str">
        <f>LEFT(Table1[[#This Row],[Category]],3)</f>
        <v>Hom</v>
      </c>
      <c r="P178" s="2"/>
    </row>
    <row r="179" spans="1:16" x14ac:dyDescent="0.35">
      <c r="A179" t="s">
        <v>189</v>
      </c>
      <c r="B179" t="s">
        <v>1221</v>
      </c>
      <c r="C179" t="s">
        <v>1226</v>
      </c>
      <c r="D179">
        <v>290</v>
      </c>
      <c r="E179">
        <v>2</v>
      </c>
      <c r="F179" t="s">
        <v>1279</v>
      </c>
      <c r="G179" t="s">
        <v>1584</v>
      </c>
      <c r="H179" t="s">
        <v>1593</v>
      </c>
      <c r="I179">
        <v>580</v>
      </c>
      <c r="J179">
        <v>88</v>
      </c>
      <c r="K179" t="s">
        <v>1594</v>
      </c>
      <c r="L179" t="s">
        <v>1599</v>
      </c>
      <c r="M179" t="str">
        <f>IF(Table1[[#This Row],[Quantity]]&gt;2,"Bulk Order","Normal Order")</f>
        <v>Normal Order</v>
      </c>
      <c r="N179" t="str">
        <f>_xlfn.CONCAT(Table1[[#This Row],[Category]],"-",Table1[[#This Row],[City]])</f>
        <v>Home-Chennai</v>
      </c>
      <c r="O179" t="str">
        <f>LEFT(Table1[[#This Row],[Category]],3)</f>
        <v>Hom</v>
      </c>
      <c r="P179" s="2"/>
    </row>
    <row r="180" spans="1:16" x14ac:dyDescent="0.35">
      <c r="A180" t="s">
        <v>190</v>
      </c>
      <c r="B180" t="s">
        <v>1216</v>
      </c>
      <c r="C180" t="s">
        <v>1226</v>
      </c>
      <c r="D180">
        <v>3717</v>
      </c>
      <c r="E180">
        <v>2</v>
      </c>
      <c r="F180" t="s">
        <v>1374</v>
      </c>
      <c r="G180" t="s">
        <v>1585</v>
      </c>
      <c r="H180" t="s">
        <v>1593</v>
      </c>
      <c r="I180">
        <v>7434</v>
      </c>
      <c r="J180">
        <v>26</v>
      </c>
      <c r="K180" t="s">
        <v>1595</v>
      </c>
      <c r="L180" t="s">
        <v>1597</v>
      </c>
      <c r="M180" t="str">
        <f>IF(Table1[[#This Row],[Quantity]]&gt;2,"Bulk Order","Normal Order")</f>
        <v>Normal Order</v>
      </c>
      <c r="N180" t="str">
        <f>_xlfn.CONCAT(Table1[[#This Row],[Category]],"-",Table1[[#This Row],[City]])</f>
        <v>Home-Kolkata</v>
      </c>
      <c r="O180" t="str">
        <f>LEFT(Table1[[#This Row],[Category]],3)</f>
        <v>Hom</v>
      </c>
      <c r="P180" s="2"/>
    </row>
    <row r="181" spans="1:16" x14ac:dyDescent="0.35">
      <c r="A181" t="s">
        <v>191</v>
      </c>
      <c r="B181" t="s">
        <v>1223</v>
      </c>
      <c r="C181" t="s">
        <v>1228</v>
      </c>
      <c r="D181">
        <v>405</v>
      </c>
      <c r="E181">
        <v>2</v>
      </c>
      <c r="F181" t="s">
        <v>1375</v>
      </c>
      <c r="G181" t="s">
        <v>1586</v>
      </c>
      <c r="H181" t="s">
        <v>1591</v>
      </c>
      <c r="I181">
        <v>810</v>
      </c>
      <c r="J181">
        <v>100</v>
      </c>
      <c r="K181" t="s">
        <v>1595</v>
      </c>
      <c r="L181" t="s">
        <v>1599</v>
      </c>
      <c r="M181" t="str">
        <f>IF(Table1[[#This Row],[Quantity]]&gt;2,"Bulk Order","Normal Order")</f>
        <v>Normal Order</v>
      </c>
      <c r="N181" t="str">
        <f>_xlfn.CONCAT(Table1[[#This Row],[Category]],"-",Table1[[#This Row],[City]])</f>
        <v>Electronics-Hyderabad</v>
      </c>
      <c r="O181" t="str">
        <f>LEFT(Table1[[#This Row],[Category]],3)</f>
        <v>Ele</v>
      </c>
      <c r="P181" s="2"/>
    </row>
    <row r="182" spans="1:16" x14ac:dyDescent="0.35">
      <c r="A182" t="s">
        <v>192</v>
      </c>
      <c r="B182" t="s">
        <v>1214</v>
      </c>
      <c r="C182" t="s">
        <v>1227</v>
      </c>
      <c r="D182">
        <v>1438</v>
      </c>
      <c r="E182">
        <v>2</v>
      </c>
      <c r="F182" t="s">
        <v>1285</v>
      </c>
      <c r="G182" t="s">
        <v>1589</v>
      </c>
      <c r="H182" t="s">
        <v>1592</v>
      </c>
      <c r="I182">
        <v>2876</v>
      </c>
      <c r="J182">
        <v>32</v>
      </c>
      <c r="K182" t="s">
        <v>1595</v>
      </c>
      <c r="L182" t="s">
        <v>1597</v>
      </c>
      <c r="M182" t="str">
        <f>IF(Table1[[#This Row],[Quantity]]&gt;2,"Bulk Order","Normal Order")</f>
        <v>Normal Order</v>
      </c>
      <c r="N182" t="str">
        <f>_xlfn.CONCAT(Table1[[#This Row],[Category]],"-",Table1[[#This Row],[City]])</f>
        <v>Accessories-Bangalore</v>
      </c>
      <c r="O182" t="str">
        <f>LEFT(Table1[[#This Row],[Category]],3)</f>
        <v>Acc</v>
      </c>
      <c r="P182" s="2"/>
    </row>
    <row r="183" spans="1:16" x14ac:dyDescent="0.35">
      <c r="A183" t="s">
        <v>193</v>
      </c>
      <c r="B183" t="s">
        <v>1223</v>
      </c>
      <c r="C183" t="s">
        <v>1226</v>
      </c>
      <c r="D183">
        <v>3654</v>
      </c>
      <c r="E183">
        <v>1</v>
      </c>
      <c r="F183" t="s">
        <v>1347</v>
      </c>
      <c r="G183" t="s">
        <v>1586</v>
      </c>
      <c r="H183" t="s">
        <v>1592</v>
      </c>
      <c r="I183">
        <v>3654</v>
      </c>
      <c r="J183">
        <v>44</v>
      </c>
      <c r="K183" t="s">
        <v>1594</v>
      </c>
      <c r="L183" t="s">
        <v>1597</v>
      </c>
      <c r="M183" t="str">
        <f>IF(Table1[[#This Row],[Quantity]]&gt;2,"Bulk Order","Normal Order")</f>
        <v>Normal Order</v>
      </c>
      <c r="N183" t="str">
        <f>_xlfn.CONCAT(Table1[[#This Row],[Category]],"-",Table1[[#This Row],[City]])</f>
        <v>Home-Hyderabad</v>
      </c>
      <c r="O183" t="str">
        <f>LEFT(Table1[[#This Row],[Category]],3)</f>
        <v>Hom</v>
      </c>
      <c r="P183" s="2"/>
    </row>
    <row r="184" spans="1:16" x14ac:dyDescent="0.35">
      <c r="A184" t="s">
        <v>194</v>
      </c>
      <c r="B184" t="s">
        <v>1223</v>
      </c>
      <c r="C184" t="s">
        <v>1225</v>
      </c>
      <c r="D184">
        <v>1593</v>
      </c>
      <c r="E184">
        <v>3</v>
      </c>
      <c r="F184" t="s">
        <v>1376</v>
      </c>
      <c r="G184" t="s">
        <v>1587</v>
      </c>
      <c r="H184" t="s">
        <v>1593</v>
      </c>
      <c r="I184">
        <v>4779</v>
      </c>
      <c r="J184">
        <v>41</v>
      </c>
      <c r="K184" t="s">
        <v>1595</v>
      </c>
      <c r="L184" t="s">
        <v>1599</v>
      </c>
      <c r="M184" t="str">
        <f>IF(Table1[[#This Row],[Quantity]]&gt;2,"Bulk Order","Normal Order")</f>
        <v>Bulk Order</v>
      </c>
      <c r="N184" t="str">
        <f>_xlfn.CONCAT(Table1[[#This Row],[Category]],"-",Table1[[#This Row],[City]])</f>
        <v>Fitness-Mumbai</v>
      </c>
      <c r="O184" t="str">
        <f>LEFT(Table1[[#This Row],[Category]],3)</f>
        <v>Fit</v>
      </c>
      <c r="P184" s="2"/>
    </row>
    <row r="185" spans="1:16" x14ac:dyDescent="0.35">
      <c r="A185" t="s">
        <v>195</v>
      </c>
      <c r="B185" t="s">
        <v>1214</v>
      </c>
      <c r="C185" t="s">
        <v>1226</v>
      </c>
      <c r="D185">
        <v>2057</v>
      </c>
      <c r="E185">
        <v>3</v>
      </c>
      <c r="F185" t="s">
        <v>1377</v>
      </c>
      <c r="G185" t="s">
        <v>1589</v>
      </c>
      <c r="H185" t="s">
        <v>1593</v>
      </c>
      <c r="I185">
        <v>6171</v>
      </c>
      <c r="J185">
        <v>41</v>
      </c>
      <c r="K185" t="s">
        <v>1594</v>
      </c>
      <c r="L185" t="s">
        <v>1599</v>
      </c>
      <c r="M185" t="str">
        <f>IF(Table1[[#This Row],[Quantity]]&gt;2,"Bulk Order","Normal Order")</f>
        <v>Bulk Order</v>
      </c>
      <c r="N185" t="str">
        <f>_xlfn.CONCAT(Table1[[#This Row],[Category]],"-",Table1[[#This Row],[City]])</f>
        <v>Home-Bangalore</v>
      </c>
      <c r="O185" t="str">
        <f>LEFT(Table1[[#This Row],[Category]],3)</f>
        <v>Hom</v>
      </c>
      <c r="P185" s="2"/>
    </row>
    <row r="186" spans="1:16" x14ac:dyDescent="0.35">
      <c r="A186" t="s">
        <v>196</v>
      </c>
      <c r="B186" t="s">
        <v>1220</v>
      </c>
      <c r="C186" t="s">
        <v>1224</v>
      </c>
      <c r="D186">
        <v>2054</v>
      </c>
      <c r="E186">
        <v>2</v>
      </c>
      <c r="F186" t="s">
        <v>1378</v>
      </c>
      <c r="G186" t="s">
        <v>1588</v>
      </c>
      <c r="H186" t="s">
        <v>1592</v>
      </c>
      <c r="I186">
        <v>4108</v>
      </c>
      <c r="J186">
        <v>56</v>
      </c>
      <c r="K186" t="s">
        <v>1595</v>
      </c>
      <c r="L186" t="s">
        <v>1597</v>
      </c>
      <c r="M186" t="str">
        <f>IF(Table1[[#This Row],[Quantity]]&gt;2,"Bulk Order","Normal Order")</f>
        <v>Normal Order</v>
      </c>
      <c r="N186" t="str">
        <f>_xlfn.CONCAT(Table1[[#This Row],[Category]],"-",Table1[[#This Row],[City]])</f>
        <v>Lifestyle-Delhi</v>
      </c>
      <c r="O186" t="str">
        <f>LEFT(Table1[[#This Row],[Category]],3)</f>
        <v>Lif</v>
      </c>
      <c r="P186" s="2"/>
    </row>
    <row r="187" spans="1:16" x14ac:dyDescent="0.35">
      <c r="A187" t="s">
        <v>197</v>
      </c>
      <c r="B187" t="s">
        <v>1220</v>
      </c>
      <c r="C187" t="s">
        <v>1227</v>
      </c>
      <c r="D187">
        <v>3488</v>
      </c>
      <c r="E187">
        <v>3</v>
      </c>
      <c r="F187" t="s">
        <v>1378</v>
      </c>
      <c r="G187" t="s">
        <v>1586</v>
      </c>
      <c r="H187" t="s">
        <v>1590</v>
      </c>
      <c r="I187">
        <v>10464</v>
      </c>
      <c r="J187">
        <v>73</v>
      </c>
      <c r="K187" t="s">
        <v>1596</v>
      </c>
      <c r="L187" t="s">
        <v>1599</v>
      </c>
      <c r="M187" t="str">
        <f>IF(Table1[[#This Row],[Quantity]]&gt;2,"Bulk Order","Normal Order")</f>
        <v>Bulk Order</v>
      </c>
      <c r="N187" t="str">
        <f>_xlfn.CONCAT(Table1[[#This Row],[Category]],"-",Table1[[#This Row],[City]])</f>
        <v>Accessories-Hyderabad</v>
      </c>
      <c r="O187" t="str">
        <f>LEFT(Table1[[#This Row],[Category]],3)</f>
        <v>Acc</v>
      </c>
      <c r="P187" s="2"/>
    </row>
    <row r="188" spans="1:16" x14ac:dyDescent="0.35">
      <c r="A188" t="s">
        <v>198</v>
      </c>
      <c r="B188" t="s">
        <v>1220</v>
      </c>
      <c r="C188" t="s">
        <v>1226</v>
      </c>
      <c r="D188">
        <v>3691</v>
      </c>
      <c r="E188">
        <v>3</v>
      </c>
      <c r="F188" t="s">
        <v>1379</v>
      </c>
      <c r="G188" t="s">
        <v>1586</v>
      </c>
      <c r="H188" t="s">
        <v>1592</v>
      </c>
      <c r="I188">
        <v>11073</v>
      </c>
      <c r="J188">
        <v>32</v>
      </c>
      <c r="K188" t="s">
        <v>1595</v>
      </c>
      <c r="L188" t="s">
        <v>1599</v>
      </c>
      <c r="M188" t="str">
        <f>IF(Table1[[#This Row],[Quantity]]&gt;2,"Bulk Order","Normal Order")</f>
        <v>Bulk Order</v>
      </c>
      <c r="N188" t="str">
        <f>_xlfn.CONCAT(Table1[[#This Row],[Category]],"-",Table1[[#This Row],[City]])</f>
        <v>Home-Hyderabad</v>
      </c>
      <c r="O188" t="str">
        <f>LEFT(Table1[[#This Row],[Category]],3)</f>
        <v>Hom</v>
      </c>
      <c r="P188" s="2"/>
    </row>
    <row r="189" spans="1:16" x14ac:dyDescent="0.35">
      <c r="A189" t="s">
        <v>199</v>
      </c>
      <c r="B189" t="s">
        <v>1219</v>
      </c>
      <c r="C189" t="s">
        <v>1226</v>
      </c>
      <c r="D189">
        <v>2943</v>
      </c>
      <c r="E189">
        <v>4</v>
      </c>
      <c r="F189" t="s">
        <v>1293</v>
      </c>
      <c r="G189" t="s">
        <v>1588</v>
      </c>
      <c r="H189" t="s">
        <v>1591</v>
      </c>
      <c r="I189">
        <v>11772</v>
      </c>
      <c r="J189">
        <v>50</v>
      </c>
      <c r="K189" t="s">
        <v>1595</v>
      </c>
      <c r="L189" t="s">
        <v>1597</v>
      </c>
      <c r="M189" t="str">
        <f>IF(Table1[[#This Row],[Quantity]]&gt;2,"Bulk Order","Normal Order")</f>
        <v>Bulk Order</v>
      </c>
      <c r="N189" t="str">
        <f>_xlfn.CONCAT(Table1[[#This Row],[Category]],"-",Table1[[#This Row],[City]])</f>
        <v>Home-Delhi</v>
      </c>
      <c r="O189" t="str">
        <f>LEFT(Table1[[#This Row],[Category]],3)</f>
        <v>Hom</v>
      </c>
      <c r="P189" s="2"/>
    </row>
    <row r="190" spans="1:16" x14ac:dyDescent="0.35">
      <c r="A190" t="s">
        <v>200</v>
      </c>
      <c r="B190" t="s">
        <v>1217</v>
      </c>
      <c r="C190" t="s">
        <v>1225</v>
      </c>
      <c r="D190">
        <v>4442</v>
      </c>
      <c r="E190">
        <v>4</v>
      </c>
      <c r="F190" t="s">
        <v>1311</v>
      </c>
      <c r="G190" t="s">
        <v>1588</v>
      </c>
      <c r="H190" t="s">
        <v>1592</v>
      </c>
      <c r="I190">
        <v>17768</v>
      </c>
      <c r="J190">
        <v>80</v>
      </c>
      <c r="K190" t="s">
        <v>1595</v>
      </c>
      <c r="L190" t="s">
        <v>1599</v>
      </c>
      <c r="M190" t="str">
        <f>IF(Table1[[#This Row],[Quantity]]&gt;2,"Bulk Order","Normal Order")</f>
        <v>Bulk Order</v>
      </c>
      <c r="N190" t="str">
        <f>_xlfn.CONCAT(Table1[[#This Row],[Category]],"-",Table1[[#This Row],[City]])</f>
        <v>Fitness-Delhi</v>
      </c>
      <c r="O190" t="str">
        <f>LEFT(Table1[[#This Row],[Category]],3)</f>
        <v>Fit</v>
      </c>
      <c r="P190" s="2"/>
    </row>
    <row r="191" spans="1:16" x14ac:dyDescent="0.35">
      <c r="A191" t="s">
        <v>201</v>
      </c>
      <c r="B191" t="s">
        <v>1220</v>
      </c>
      <c r="C191" t="s">
        <v>1227</v>
      </c>
      <c r="D191">
        <v>2904</v>
      </c>
      <c r="E191">
        <v>4</v>
      </c>
      <c r="F191" t="s">
        <v>1380</v>
      </c>
      <c r="G191" t="s">
        <v>1587</v>
      </c>
      <c r="H191" t="s">
        <v>1593</v>
      </c>
      <c r="I191">
        <v>11616</v>
      </c>
      <c r="J191">
        <v>26</v>
      </c>
      <c r="K191" t="s">
        <v>1594</v>
      </c>
      <c r="L191" t="s">
        <v>1598</v>
      </c>
      <c r="M191" t="str">
        <f>IF(Table1[[#This Row],[Quantity]]&gt;2,"Bulk Order","Normal Order")</f>
        <v>Bulk Order</v>
      </c>
      <c r="N191" t="str">
        <f>_xlfn.CONCAT(Table1[[#This Row],[Category]],"-",Table1[[#This Row],[City]])</f>
        <v>Accessories-Mumbai</v>
      </c>
      <c r="O191" t="str">
        <f>LEFT(Table1[[#This Row],[Category]],3)</f>
        <v>Acc</v>
      </c>
      <c r="P191" s="2"/>
    </row>
    <row r="192" spans="1:16" x14ac:dyDescent="0.35">
      <c r="A192" t="s">
        <v>202</v>
      </c>
      <c r="B192" t="s">
        <v>1214</v>
      </c>
      <c r="C192" t="s">
        <v>1224</v>
      </c>
      <c r="D192">
        <v>4522</v>
      </c>
      <c r="E192">
        <v>2</v>
      </c>
      <c r="F192" t="s">
        <v>1272</v>
      </c>
      <c r="G192" t="s">
        <v>1585</v>
      </c>
      <c r="H192" t="s">
        <v>1592</v>
      </c>
      <c r="I192">
        <v>9044</v>
      </c>
      <c r="J192">
        <v>27</v>
      </c>
      <c r="K192" t="s">
        <v>1594</v>
      </c>
      <c r="L192" t="s">
        <v>1599</v>
      </c>
      <c r="M192" t="str">
        <f>IF(Table1[[#This Row],[Quantity]]&gt;2,"Bulk Order","Normal Order")</f>
        <v>Normal Order</v>
      </c>
      <c r="N192" t="str">
        <f>_xlfn.CONCAT(Table1[[#This Row],[Category]],"-",Table1[[#This Row],[City]])</f>
        <v>Lifestyle-Kolkata</v>
      </c>
      <c r="O192" t="str">
        <f>LEFT(Table1[[#This Row],[Category]],3)</f>
        <v>Lif</v>
      </c>
      <c r="P192" s="2"/>
    </row>
    <row r="193" spans="1:16" x14ac:dyDescent="0.35">
      <c r="A193" t="s">
        <v>203</v>
      </c>
      <c r="B193" t="s">
        <v>1217</v>
      </c>
      <c r="C193" t="s">
        <v>1224</v>
      </c>
      <c r="D193">
        <v>296</v>
      </c>
      <c r="E193">
        <v>4</v>
      </c>
      <c r="F193" t="s">
        <v>1353</v>
      </c>
      <c r="G193" t="s">
        <v>1587</v>
      </c>
      <c r="H193" t="s">
        <v>1592</v>
      </c>
      <c r="I193">
        <v>1184</v>
      </c>
      <c r="J193">
        <v>95</v>
      </c>
      <c r="K193" t="s">
        <v>1595</v>
      </c>
      <c r="L193" t="s">
        <v>1597</v>
      </c>
      <c r="M193" t="str">
        <f>IF(Table1[[#This Row],[Quantity]]&gt;2,"Bulk Order","Normal Order")</f>
        <v>Bulk Order</v>
      </c>
      <c r="N193" t="str">
        <f>_xlfn.CONCAT(Table1[[#This Row],[Category]],"-",Table1[[#This Row],[City]])</f>
        <v>Lifestyle-Mumbai</v>
      </c>
      <c r="O193" t="str">
        <f>LEFT(Table1[[#This Row],[Category]],3)</f>
        <v>Lif</v>
      </c>
      <c r="P193" s="2"/>
    </row>
    <row r="194" spans="1:16" x14ac:dyDescent="0.35">
      <c r="A194" t="s">
        <v>204</v>
      </c>
      <c r="B194" t="s">
        <v>1212</v>
      </c>
      <c r="C194" t="s">
        <v>1228</v>
      </c>
      <c r="D194">
        <v>400</v>
      </c>
      <c r="E194">
        <v>2</v>
      </c>
      <c r="F194" t="s">
        <v>1381</v>
      </c>
      <c r="G194" t="s">
        <v>1585</v>
      </c>
      <c r="H194" t="s">
        <v>1593</v>
      </c>
      <c r="I194">
        <v>800</v>
      </c>
      <c r="J194">
        <v>54</v>
      </c>
      <c r="K194" t="s">
        <v>1595</v>
      </c>
      <c r="L194" t="s">
        <v>1599</v>
      </c>
      <c r="M194" t="str">
        <f>IF(Table1[[#This Row],[Quantity]]&gt;2,"Bulk Order","Normal Order")</f>
        <v>Normal Order</v>
      </c>
      <c r="N194" t="str">
        <f>_xlfn.CONCAT(Table1[[#This Row],[Category]],"-",Table1[[#This Row],[City]])</f>
        <v>Electronics-Kolkata</v>
      </c>
      <c r="O194" t="str">
        <f>LEFT(Table1[[#This Row],[Category]],3)</f>
        <v>Ele</v>
      </c>
      <c r="P194" s="2"/>
    </row>
    <row r="195" spans="1:16" x14ac:dyDescent="0.35">
      <c r="A195" t="s">
        <v>205</v>
      </c>
      <c r="B195" t="s">
        <v>1217</v>
      </c>
      <c r="C195" t="s">
        <v>1228</v>
      </c>
      <c r="D195">
        <v>4275</v>
      </c>
      <c r="E195">
        <v>2</v>
      </c>
      <c r="F195" t="s">
        <v>1382</v>
      </c>
      <c r="G195" t="s">
        <v>1588</v>
      </c>
      <c r="H195" t="s">
        <v>1591</v>
      </c>
      <c r="I195">
        <v>8550</v>
      </c>
      <c r="J195">
        <v>70</v>
      </c>
      <c r="K195" t="s">
        <v>1594</v>
      </c>
      <c r="L195" t="s">
        <v>1597</v>
      </c>
      <c r="M195" t="str">
        <f>IF(Table1[[#This Row],[Quantity]]&gt;2,"Bulk Order","Normal Order")</f>
        <v>Normal Order</v>
      </c>
      <c r="N195" t="str">
        <f>_xlfn.CONCAT(Table1[[#This Row],[Category]],"-",Table1[[#This Row],[City]])</f>
        <v>Electronics-Delhi</v>
      </c>
      <c r="O195" t="str">
        <f>LEFT(Table1[[#This Row],[Category]],3)</f>
        <v>Ele</v>
      </c>
      <c r="P195" s="2"/>
    </row>
    <row r="196" spans="1:16" x14ac:dyDescent="0.35">
      <c r="A196" t="s">
        <v>206</v>
      </c>
      <c r="B196" t="s">
        <v>1221</v>
      </c>
      <c r="C196" t="s">
        <v>1224</v>
      </c>
      <c r="D196">
        <v>2784</v>
      </c>
      <c r="E196">
        <v>2</v>
      </c>
      <c r="F196" t="s">
        <v>1301</v>
      </c>
      <c r="G196" t="s">
        <v>1589</v>
      </c>
      <c r="H196" t="s">
        <v>1592</v>
      </c>
      <c r="I196">
        <v>5568</v>
      </c>
      <c r="J196">
        <v>62</v>
      </c>
      <c r="K196" t="s">
        <v>1596</v>
      </c>
      <c r="L196" t="s">
        <v>1598</v>
      </c>
      <c r="M196" t="str">
        <f>IF(Table1[[#This Row],[Quantity]]&gt;2,"Bulk Order","Normal Order")</f>
        <v>Normal Order</v>
      </c>
      <c r="N196" t="str">
        <f>_xlfn.CONCAT(Table1[[#This Row],[Category]],"-",Table1[[#This Row],[City]])</f>
        <v>Lifestyle-Bangalore</v>
      </c>
      <c r="O196" t="str">
        <f>LEFT(Table1[[#This Row],[Category]],3)</f>
        <v>Lif</v>
      </c>
      <c r="P196" s="2"/>
    </row>
    <row r="197" spans="1:16" x14ac:dyDescent="0.35">
      <c r="A197" t="s">
        <v>207</v>
      </c>
      <c r="B197" t="s">
        <v>1218</v>
      </c>
      <c r="C197" t="s">
        <v>1227</v>
      </c>
      <c r="D197">
        <v>2824</v>
      </c>
      <c r="E197">
        <v>4</v>
      </c>
      <c r="F197" t="s">
        <v>1383</v>
      </c>
      <c r="G197" t="s">
        <v>1587</v>
      </c>
      <c r="H197" t="s">
        <v>1590</v>
      </c>
      <c r="I197">
        <v>11296</v>
      </c>
      <c r="J197">
        <v>65</v>
      </c>
      <c r="K197" t="s">
        <v>1595</v>
      </c>
      <c r="L197" t="s">
        <v>1598</v>
      </c>
      <c r="M197" t="str">
        <f>IF(Table1[[#This Row],[Quantity]]&gt;2,"Bulk Order","Normal Order")</f>
        <v>Bulk Order</v>
      </c>
      <c r="N197" t="str">
        <f>_xlfn.CONCAT(Table1[[#This Row],[Category]],"-",Table1[[#This Row],[City]])</f>
        <v>Accessories-Mumbai</v>
      </c>
      <c r="O197" t="str">
        <f>LEFT(Table1[[#This Row],[Category]],3)</f>
        <v>Acc</v>
      </c>
      <c r="P197" s="2"/>
    </row>
    <row r="198" spans="1:16" x14ac:dyDescent="0.35">
      <c r="A198" t="s">
        <v>208</v>
      </c>
      <c r="B198" t="s">
        <v>1217</v>
      </c>
      <c r="C198" t="s">
        <v>1224</v>
      </c>
      <c r="D198">
        <v>3776</v>
      </c>
      <c r="E198">
        <v>2</v>
      </c>
      <c r="F198" t="s">
        <v>1301</v>
      </c>
      <c r="G198" t="s">
        <v>1586</v>
      </c>
      <c r="H198" t="s">
        <v>1593</v>
      </c>
      <c r="I198">
        <v>7552</v>
      </c>
      <c r="J198">
        <v>55</v>
      </c>
      <c r="K198" t="s">
        <v>1595</v>
      </c>
      <c r="L198" t="s">
        <v>1599</v>
      </c>
      <c r="M198" t="str">
        <f>IF(Table1[[#This Row],[Quantity]]&gt;2,"Bulk Order","Normal Order")</f>
        <v>Normal Order</v>
      </c>
      <c r="N198" t="str">
        <f>_xlfn.CONCAT(Table1[[#This Row],[Category]],"-",Table1[[#This Row],[City]])</f>
        <v>Lifestyle-Hyderabad</v>
      </c>
      <c r="O198" t="str">
        <f>LEFT(Table1[[#This Row],[Category]],3)</f>
        <v>Lif</v>
      </c>
      <c r="P198" s="2"/>
    </row>
    <row r="199" spans="1:16" x14ac:dyDescent="0.35">
      <c r="A199" t="s">
        <v>209</v>
      </c>
      <c r="B199" t="s">
        <v>1218</v>
      </c>
      <c r="C199" t="s">
        <v>1227</v>
      </c>
      <c r="D199">
        <v>2314</v>
      </c>
      <c r="E199">
        <v>3</v>
      </c>
      <c r="F199" t="s">
        <v>1254</v>
      </c>
      <c r="G199" t="s">
        <v>1587</v>
      </c>
      <c r="H199" t="s">
        <v>1593</v>
      </c>
      <c r="I199">
        <v>6942</v>
      </c>
      <c r="J199">
        <v>64</v>
      </c>
      <c r="K199" t="s">
        <v>1594</v>
      </c>
      <c r="L199" t="s">
        <v>1598</v>
      </c>
      <c r="M199" t="str">
        <f>IF(Table1[[#This Row],[Quantity]]&gt;2,"Bulk Order","Normal Order")</f>
        <v>Bulk Order</v>
      </c>
      <c r="N199" t="str">
        <f>_xlfn.CONCAT(Table1[[#This Row],[Category]],"-",Table1[[#This Row],[City]])</f>
        <v>Accessories-Mumbai</v>
      </c>
      <c r="O199" t="str">
        <f>LEFT(Table1[[#This Row],[Category]],3)</f>
        <v>Acc</v>
      </c>
      <c r="P199" s="2"/>
    </row>
    <row r="200" spans="1:16" x14ac:dyDescent="0.35">
      <c r="A200" t="s">
        <v>210</v>
      </c>
      <c r="B200" t="s">
        <v>1215</v>
      </c>
      <c r="C200" t="s">
        <v>1228</v>
      </c>
      <c r="D200">
        <v>1546</v>
      </c>
      <c r="E200">
        <v>4</v>
      </c>
      <c r="F200" t="s">
        <v>1248</v>
      </c>
      <c r="G200" t="s">
        <v>1584</v>
      </c>
      <c r="H200" t="s">
        <v>1591</v>
      </c>
      <c r="I200">
        <v>6184</v>
      </c>
      <c r="J200">
        <v>34</v>
      </c>
      <c r="K200" t="s">
        <v>1595</v>
      </c>
      <c r="L200" t="s">
        <v>1597</v>
      </c>
      <c r="M200" t="str">
        <f>IF(Table1[[#This Row],[Quantity]]&gt;2,"Bulk Order","Normal Order")</f>
        <v>Bulk Order</v>
      </c>
      <c r="N200" t="str">
        <f>_xlfn.CONCAT(Table1[[#This Row],[Category]],"-",Table1[[#This Row],[City]])</f>
        <v>Electronics-Chennai</v>
      </c>
      <c r="O200" t="str">
        <f>LEFT(Table1[[#This Row],[Category]],3)</f>
        <v>Ele</v>
      </c>
      <c r="P200" s="2"/>
    </row>
    <row r="201" spans="1:16" x14ac:dyDescent="0.35">
      <c r="A201" t="s">
        <v>211</v>
      </c>
      <c r="B201" t="s">
        <v>1218</v>
      </c>
      <c r="C201" t="s">
        <v>1225</v>
      </c>
      <c r="D201">
        <v>1782</v>
      </c>
      <c r="E201">
        <v>3</v>
      </c>
      <c r="F201" t="s">
        <v>1384</v>
      </c>
      <c r="G201" t="s">
        <v>1585</v>
      </c>
      <c r="H201" t="s">
        <v>1592</v>
      </c>
      <c r="I201">
        <v>5346</v>
      </c>
      <c r="J201">
        <v>90</v>
      </c>
      <c r="K201" t="s">
        <v>1595</v>
      </c>
      <c r="L201" t="s">
        <v>1599</v>
      </c>
      <c r="M201" t="str">
        <f>IF(Table1[[#This Row],[Quantity]]&gt;2,"Bulk Order","Normal Order")</f>
        <v>Bulk Order</v>
      </c>
      <c r="N201" t="str">
        <f>_xlfn.CONCAT(Table1[[#This Row],[Category]],"-",Table1[[#This Row],[City]])</f>
        <v>Fitness-Kolkata</v>
      </c>
      <c r="O201" t="str">
        <f>LEFT(Table1[[#This Row],[Category]],3)</f>
        <v>Fit</v>
      </c>
      <c r="P201" s="2"/>
    </row>
    <row r="202" spans="1:16" x14ac:dyDescent="0.35">
      <c r="A202" t="s">
        <v>212</v>
      </c>
      <c r="B202" t="s">
        <v>1220</v>
      </c>
      <c r="C202" t="s">
        <v>1225</v>
      </c>
      <c r="D202">
        <v>4491</v>
      </c>
      <c r="E202">
        <v>4</v>
      </c>
      <c r="F202" t="s">
        <v>1385</v>
      </c>
      <c r="G202" t="s">
        <v>1588</v>
      </c>
      <c r="H202" t="s">
        <v>1592</v>
      </c>
      <c r="I202">
        <v>17964</v>
      </c>
      <c r="J202">
        <v>38</v>
      </c>
      <c r="K202" t="s">
        <v>1594</v>
      </c>
      <c r="L202" t="s">
        <v>1598</v>
      </c>
      <c r="M202" t="str">
        <f>IF(Table1[[#This Row],[Quantity]]&gt;2,"Bulk Order","Normal Order")</f>
        <v>Bulk Order</v>
      </c>
      <c r="N202" t="str">
        <f>_xlfn.CONCAT(Table1[[#This Row],[Category]],"-",Table1[[#This Row],[City]])</f>
        <v>Fitness-Delhi</v>
      </c>
      <c r="O202" t="str">
        <f>LEFT(Table1[[#This Row],[Category]],3)</f>
        <v>Fit</v>
      </c>
      <c r="P202" s="2"/>
    </row>
    <row r="203" spans="1:16" x14ac:dyDescent="0.35">
      <c r="A203" t="s">
        <v>213</v>
      </c>
      <c r="B203" t="s">
        <v>1221</v>
      </c>
      <c r="C203" t="s">
        <v>1224</v>
      </c>
      <c r="D203">
        <v>2793</v>
      </c>
      <c r="E203">
        <v>3</v>
      </c>
      <c r="F203" t="s">
        <v>1386</v>
      </c>
      <c r="G203" t="s">
        <v>1587</v>
      </c>
      <c r="H203" t="s">
        <v>1592</v>
      </c>
      <c r="I203">
        <v>8379</v>
      </c>
      <c r="J203">
        <v>62</v>
      </c>
      <c r="K203" t="s">
        <v>1595</v>
      </c>
      <c r="L203" t="s">
        <v>1598</v>
      </c>
      <c r="M203" t="str">
        <f>IF(Table1[[#This Row],[Quantity]]&gt;2,"Bulk Order","Normal Order")</f>
        <v>Bulk Order</v>
      </c>
      <c r="N203" t="str">
        <f>_xlfn.CONCAT(Table1[[#This Row],[Category]],"-",Table1[[#This Row],[City]])</f>
        <v>Lifestyle-Mumbai</v>
      </c>
      <c r="O203" t="str">
        <f>LEFT(Table1[[#This Row],[Category]],3)</f>
        <v>Lif</v>
      </c>
      <c r="P203" s="2"/>
    </row>
    <row r="204" spans="1:16" x14ac:dyDescent="0.35">
      <c r="A204" t="s">
        <v>214</v>
      </c>
      <c r="B204" t="s">
        <v>1212</v>
      </c>
      <c r="C204" t="s">
        <v>1224</v>
      </c>
      <c r="D204">
        <v>1258</v>
      </c>
      <c r="E204">
        <v>3</v>
      </c>
      <c r="F204" t="s">
        <v>1387</v>
      </c>
      <c r="G204" t="s">
        <v>1587</v>
      </c>
      <c r="H204" t="s">
        <v>1593</v>
      </c>
      <c r="I204">
        <v>3774</v>
      </c>
      <c r="J204">
        <v>67</v>
      </c>
      <c r="K204" t="s">
        <v>1595</v>
      </c>
      <c r="L204" t="s">
        <v>1598</v>
      </c>
      <c r="M204" t="str">
        <f>IF(Table1[[#This Row],[Quantity]]&gt;2,"Bulk Order","Normal Order")</f>
        <v>Bulk Order</v>
      </c>
      <c r="N204" t="str">
        <f>_xlfn.CONCAT(Table1[[#This Row],[Category]],"-",Table1[[#This Row],[City]])</f>
        <v>Lifestyle-Mumbai</v>
      </c>
      <c r="O204" t="str">
        <f>LEFT(Table1[[#This Row],[Category]],3)</f>
        <v>Lif</v>
      </c>
      <c r="P204" s="2"/>
    </row>
    <row r="205" spans="1:16" x14ac:dyDescent="0.35">
      <c r="A205" t="s">
        <v>215</v>
      </c>
      <c r="B205" t="s">
        <v>1220</v>
      </c>
      <c r="C205" t="s">
        <v>1225</v>
      </c>
      <c r="D205">
        <v>2417</v>
      </c>
      <c r="E205">
        <v>3</v>
      </c>
      <c r="F205" t="s">
        <v>1388</v>
      </c>
      <c r="G205" t="s">
        <v>1587</v>
      </c>
      <c r="H205" t="s">
        <v>1591</v>
      </c>
      <c r="I205">
        <v>7251</v>
      </c>
      <c r="J205">
        <v>78</v>
      </c>
      <c r="K205" t="s">
        <v>1595</v>
      </c>
      <c r="L205" t="s">
        <v>1597</v>
      </c>
      <c r="M205" t="str">
        <f>IF(Table1[[#This Row],[Quantity]]&gt;2,"Bulk Order","Normal Order")</f>
        <v>Bulk Order</v>
      </c>
      <c r="N205" t="str">
        <f>_xlfn.CONCAT(Table1[[#This Row],[Category]],"-",Table1[[#This Row],[City]])</f>
        <v>Fitness-Mumbai</v>
      </c>
      <c r="O205" t="str">
        <f>LEFT(Table1[[#This Row],[Category]],3)</f>
        <v>Fit</v>
      </c>
      <c r="P205" s="2"/>
    </row>
    <row r="206" spans="1:16" x14ac:dyDescent="0.35">
      <c r="A206" t="s">
        <v>216</v>
      </c>
      <c r="B206" t="s">
        <v>1212</v>
      </c>
      <c r="C206" t="s">
        <v>1225</v>
      </c>
      <c r="D206">
        <v>309</v>
      </c>
      <c r="E206">
        <v>1</v>
      </c>
      <c r="F206" t="s">
        <v>1273</v>
      </c>
      <c r="G206" t="s">
        <v>1587</v>
      </c>
      <c r="H206" t="s">
        <v>1591</v>
      </c>
      <c r="I206">
        <v>309</v>
      </c>
      <c r="J206">
        <v>99</v>
      </c>
      <c r="K206" t="s">
        <v>1595</v>
      </c>
      <c r="L206" t="s">
        <v>1597</v>
      </c>
      <c r="M206" t="str">
        <f>IF(Table1[[#This Row],[Quantity]]&gt;2,"Bulk Order","Normal Order")</f>
        <v>Normal Order</v>
      </c>
      <c r="N206" t="str">
        <f>_xlfn.CONCAT(Table1[[#This Row],[Category]],"-",Table1[[#This Row],[City]])</f>
        <v>Fitness-Mumbai</v>
      </c>
      <c r="O206" t="str">
        <f>LEFT(Table1[[#This Row],[Category]],3)</f>
        <v>Fit</v>
      </c>
      <c r="P206" s="2"/>
    </row>
    <row r="207" spans="1:16" x14ac:dyDescent="0.35">
      <c r="A207" t="s">
        <v>217</v>
      </c>
      <c r="B207" t="s">
        <v>1212</v>
      </c>
      <c r="C207" t="s">
        <v>1228</v>
      </c>
      <c r="D207">
        <v>4657</v>
      </c>
      <c r="E207">
        <v>3</v>
      </c>
      <c r="F207" t="s">
        <v>1389</v>
      </c>
      <c r="G207" t="s">
        <v>1586</v>
      </c>
      <c r="H207" t="s">
        <v>1593</v>
      </c>
      <c r="I207">
        <v>13971</v>
      </c>
      <c r="J207">
        <v>45</v>
      </c>
      <c r="K207" t="s">
        <v>1595</v>
      </c>
      <c r="L207" t="s">
        <v>1598</v>
      </c>
      <c r="M207" t="str">
        <f>IF(Table1[[#This Row],[Quantity]]&gt;2,"Bulk Order","Normal Order")</f>
        <v>Bulk Order</v>
      </c>
      <c r="N207" t="str">
        <f>_xlfn.CONCAT(Table1[[#This Row],[Category]],"-",Table1[[#This Row],[City]])</f>
        <v>Electronics-Hyderabad</v>
      </c>
      <c r="O207" t="str">
        <f>LEFT(Table1[[#This Row],[Category]],3)</f>
        <v>Ele</v>
      </c>
      <c r="P207" s="2"/>
    </row>
    <row r="208" spans="1:16" x14ac:dyDescent="0.35">
      <c r="A208" t="s">
        <v>218</v>
      </c>
      <c r="B208" t="s">
        <v>1218</v>
      </c>
      <c r="C208" t="s">
        <v>1226</v>
      </c>
      <c r="D208">
        <v>4214</v>
      </c>
      <c r="E208">
        <v>1</v>
      </c>
      <c r="F208" t="s">
        <v>1390</v>
      </c>
      <c r="G208" t="s">
        <v>1584</v>
      </c>
      <c r="H208" t="s">
        <v>1590</v>
      </c>
      <c r="I208">
        <v>4214</v>
      </c>
      <c r="J208">
        <v>37</v>
      </c>
      <c r="K208" t="s">
        <v>1594</v>
      </c>
      <c r="L208" t="s">
        <v>1597</v>
      </c>
      <c r="M208" t="str">
        <f>IF(Table1[[#This Row],[Quantity]]&gt;2,"Bulk Order","Normal Order")</f>
        <v>Normal Order</v>
      </c>
      <c r="N208" t="str">
        <f>_xlfn.CONCAT(Table1[[#This Row],[Category]],"-",Table1[[#This Row],[City]])</f>
        <v>Home-Chennai</v>
      </c>
      <c r="O208" t="str">
        <f>LEFT(Table1[[#This Row],[Category]],3)</f>
        <v>Hom</v>
      </c>
      <c r="P208" s="2"/>
    </row>
    <row r="209" spans="1:16" x14ac:dyDescent="0.35">
      <c r="A209" t="s">
        <v>219</v>
      </c>
      <c r="B209" t="s">
        <v>1216</v>
      </c>
      <c r="C209" t="s">
        <v>1228</v>
      </c>
      <c r="D209">
        <v>3298</v>
      </c>
      <c r="E209">
        <v>2</v>
      </c>
      <c r="F209" t="s">
        <v>1284</v>
      </c>
      <c r="G209" t="s">
        <v>1586</v>
      </c>
      <c r="H209" t="s">
        <v>1590</v>
      </c>
      <c r="I209">
        <v>6596</v>
      </c>
      <c r="J209">
        <v>86</v>
      </c>
      <c r="K209" t="s">
        <v>1595</v>
      </c>
      <c r="L209" t="s">
        <v>1599</v>
      </c>
      <c r="M209" t="str">
        <f>IF(Table1[[#This Row],[Quantity]]&gt;2,"Bulk Order","Normal Order")</f>
        <v>Normal Order</v>
      </c>
      <c r="N209" t="str">
        <f>_xlfn.CONCAT(Table1[[#This Row],[Category]],"-",Table1[[#This Row],[City]])</f>
        <v>Electronics-Hyderabad</v>
      </c>
      <c r="O209" t="str">
        <f>LEFT(Table1[[#This Row],[Category]],3)</f>
        <v>Ele</v>
      </c>
      <c r="P209" s="2"/>
    </row>
    <row r="210" spans="1:16" x14ac:dyDescent="0.35">
      <c r="A210" t="s">
        <v>220</v>
      </c>
      <c r="B210" t="s">
        <v>1222</v>
      </c>
      <c r="C210" t="s">
        <v>1225</v>
      </c>
      <c r="D210">
        <v>2846</v>
      </c>
      <c r="E210">
        <v>2</v>
      </c>
      <c r="F210" t="s">
        <v>1391</v>
      </c>
      <c r="G210" t="s">
        <v>1586</v>
      </c>
      <c r="H210" t="s">
        <v>1592</v>
      </c>
      <c r="I210">
        <v>5692</v>
      </c>
      <c r="J210">
        <v>89</v>
      </c>
      <c r="K210" t="s">
        <v>1595</v>
      </c>
      <c r="L210" t="s">
        <v>1597</v>
      </c>
      <c r="M210" t="str">
        <f>IF(Table1[[#This Row],[Quantity]]&gt;2,"Bulk Order","Normal Order")</f>
        <v>Normal Order</v>
      </c>
      <c r="N210" t="str">
        <f>_xlfn.CONCAT(Table1[[#This Row],[Category]],"-",Table1[[#This Row],[City]])</f>
        <v>Fitness-Hyderabad</v>
      </c>
      <c r="O210" t="str">
        <f>LEFT(Table1[[#This Row],[Category]],3)</f>
        <v>Fit</v>
      </c>
      <c r="P210" s="2"/>
    </row>
    <row r="211" spans="1:16" x14ac:dyDescent="0.35">
      <c r="A211" t="s">
        <v>221</v>
      </c>
      <c r="B211" t="s">
        <v>1217</v>
      </c>
      <c r="C211" t="s">
        <v>1225</v>
      </c>
      <c r="D211">
        <v>1420</v>
      </c>
      <c r="E211">
        <v>4</v>
      </c>
      <c r="F211" t="s">
        <v>1392</v>
      </c>
      <c r="G211" t="s">
        <v>1585</v>
      </c>
      <c r="H211" t="s">
        <v>1591</v>
      </c>
      <c r="I211">
        <v>5680</v>
      </c>
      <c r="J211">
        <v>59</v>
      </c>
      <c r="K211" t="s">
        <v>1594</v>
      </c>
      <c r="L211" t="s">
        <v>1599</v>
      </c>
      <c r="M211" t="str">
        <f>IF(Table1[[#This Row],[Quantity]]&gt;2,"Bulk Order","Normal Order")</f>
        <v>Bulk Order</v>
      </c>
      <c r="N211" t="str">
        <f>_xlfn.CONCAT(Table1[[#This Row],[Category]],"-",Table1[[#This Row],[City]])</f>
        <v>Fitness-Kolkata</v>
      </c>
      <c r="O211" t="str">
        <f>LEFT(Table1[[#This Row],[Category]],3)</f>
        <v>Fit</v>
      </c>
      <c r="P211" s="2"/>
    </row>
    <row r="212" spans="1:16" x14ac:dyDescent="0.35">
      <c r="A212" t="s">
        <v>222</v>
      </c>
      <c r="B212" t="s">
        <v>1214</v>
      </c>
      <c r="C212" t="s">
        <v>1227</v>
      </c>
      <c r="D212">
        <v>381</v>
      </c>
      <c r="E212">
        <v>4</v>
      </c>
      <c r="F212" t="s">
        <v>1393</v>
      </c>
      <c r="G212" t="s">
        <v>1585</v>
      </c>
      <c r="H212" t="s">
        <v>1592</v>
      </c>
      <c r="I212">
        <v>1524</v>
      </c>
      <c r="J212">
        <v>90</v>
      </c>
      <c r="K212" t="s">
        <v>1595</v>
      </c>
      <c r="L212" t="s">
        <v>1598</v>
      </c>
      <c r="M212" t="str">
        <f>IF(Table1[[#This Row],[Quantity]]&gt;2,"Bulk Order","Normal Order")</f>
        <v>Bulk Order</v>
      </c>
      <c r="N212" t="str">
        <f>_xlfn.CONCAT(Table1[[#This Row],[Category]],"-",Table1[[#This Row],[City]])</f>
        <v>Accessories-Kolkata</v>
      </c>
      <c r="O212" t="str">
        <f>LEFT(Table1[[#This Row],[Category]],3)</f>
        <v>Acc</v>
      </c>
      <c r="P212" s="2"/>
    </row>
    <row r="213" spans="1:16" x14ac:dyDescent="0.35">
      <c r="A213" t="s">
        <v>223</v>
      </c>
      <c r="B213" t="s">
        <v>1213</v>
      </c>
      <c r="C213" t="s">
        <v>1225</v>
      </c>
      <c r="D213">
        <v>4766</v>
      </c>
      <c r="E213">
        <v>4</v>
      </c>
      <c r="F213" t="s">
        <v>1394</v>
      </c>
      <c r="G213" t="s">
        <v>1588</v>
      </c>
      <c r="H213" t="s">
        <v>1590</v>
      </c>
      <c r="I213">
        <v>19064</v>
      </c>
      <c r="J213">
        <v>52</v>
      </c>
      <c r="K213" t="s">
        <v>1595</v>
      </c>
      <c r="L213" t="s">
        <v>1599</v>
      </c>
      <c r="M213" t="str">
        <f>IF(Table1[[#This Row],[Quantity]]&gt;2,"Bulk Order","Normal Order")</f>
        <v>Bulk Order</v>
      </c>
      <c r="N213" t="str">
        <f>_xlfn.CONCAT(Table1[[#This Row],[Category]],"-",Table1[[#This Row],[City]])</f>
        <v>Fitness-Delhi</v>
      </c>
      <c r="O213" t="str">
        <f>LEFT(Table1[[#This Row],[Category]],3)</f>
        <v>Fit</v>
      </c>
      <c r="P213" s="2"/>
    </row>
    <row r="214" spans="1:16" x14ac:dyDescent="0.35">
      <c r="A214" t="s">
        <v>224</v>
      </c>
      <c r="B214" t="s">
        <v>1222</v>
      </c>
      <c r="C214" t="s">
        <v>1227</v>
      </c>
      <c r="D214">
        <v>3325</v>
      </c>
      <c r="E214">
        <v>2</v>
      </c>
      <c r="F214" t="s">
        <v>1395</v>
      </c>
      <c r="G214" t="s">
        <v>1589</v>
      </c>
      <c r="H214" t="s">
        <v>1593</v>
      </c>
      <c r="I214">
        <v>6650</v>
      </c>
      <c r="J214">
        <v>28</v>
      </c>
      <c r="K214" t="s">
        <v>1595</v>
      </c>
      <c r="L214" t="s">
        <v>1599</v>
      </c>
      <c r="M214" t="str">
        <f>IF(Table1[[#This Row],[Quantity]]&gt;2,"Bulk Order","Normal Order")</f>
        <v>Normal Order</v>
      </c>
      <c r="N214" t="str">
        <f>_xlfn.CONCAT(Table1[[#This Row],[Category]],"-",Table1[[#This Row],[City]])</f>
        <v>Accessories-Bangalore</v>
      </c>
      <c r="O214" t="str">
        <f>LEFT(Table1[[#This Row],[Category]],3)</f>
        <v>Acc</v>
      </c>
      <c r="P214" s="2"/>
    </row>
    <row r="215" spans="1:16" x14ac:dyDescent="0.35">
      <c r="A215" t="s">
        <v>225</v>
      </c>
      <c r="B215" t="s">
        <v>1217</v>
      </c>
      <c r="C215" t="s">
        <v>1228</v>
      </c>
      <c r="D215">
        <v>1199</v>
      </c>
      <c r="E215">
        <v>2</v>
      </c>
      <c r="F215" t="s">
        <v>1282</v>
      </c>
      <c r="G215" t="s">
        <v>1586</v>
      </c>
      <c r="H215" t="s">
        <v>1593</v>
      </c>
      <c r="I215">
        <v>2398</v>
      </c>
      <c r="J215">
        <v>89</v>
      </c>
      <c r="K215" t="s">
        <v>1595</v>
      </c>
      <c r="L215" t="s">
        <v>1598</v>
      </c>
      <c r="M215" t="str">
        <f>IF(Table1[[#This Row],[Quantity]]&gt;2,"Bulk Order","Normal Order")</f>
        <v>Normal Order</v>
      </c>
      <c r="N215" t="str">
        <f>_xlfn.CONCAT(Table1[[#This Row],[Category]],"-",Table1[[#This Row],[City]])</f>
        <v>Electronics-Hyderabad</v>
      </c>
      <c r="O215" t="str">
        <f>LEFT(Table1[[#This Row],[Category]],3)</f>
        <v>Ele</v>
      </c>
      <c r="P215" s="2"/>
    </row>
    <row r="216" spans="1:16" x14ac:dyDescent="0.35">
      <c r="A216" t="s">
        <v>226</v>
      </c>
      <c r="B216" t="s">
        <v>1222</v>
      </c>
      <c r="C216" t="s">
        <v>1227</v>
      </c>
      <c r="D216">
        <v>801</v>
      </c>
      <c r="E216">
        <v>4</v>
      </c>
      <c r="F216" t="s">
        <v>1250</v>
      </c>
      <c r="G216" t="s">
        <v>1589</v>
      </c>
      <c r="H216" t="s">
        <v>1593</v>
      </c>
      <c r="I216">
        <v>3204</v>
      </c>
      <c r="J216">
        <v>91</v>
      </c>
      <c r="K216" t="s">
        <v>1595</v>
      </c>
      <c r="L216" t="s">
        <v>1599</v>
      </c>
      <c r="M216" t="str">
        <f>IF(Table1[[#This Row],[Quantity]]&gt;2,"Bulk Order","Normal Order")</f>
        <v>Bulk Order</v>
      </c>
      <c r="N216" t="str">
        <f>_xlfn.CONCAT(Table1[[#This Row],[Category]],"-",Table1[[#This Row],[City]])</f>
        <v>Accessories-Bangalore</v>
      </c>
      <c r="O216" t="str">
        <f>LEFT(Table1[[#This Row],[Category]],3)</f>
        <v>Acc</v>
      </c>
      <c r="P216" s="2"/>
    </row>
    <row r="217" spans="1:16" x14ac:dyDescent="0.35">
      <c r="A217" t="s">
        <v>227</v>
      </c>
      <c r="B217" t="s">
        <v>1218</v>
      </c>
      <c r="C217" t="s">
        <v>1225</v>
      </c>
      <c r="D217">
        <v>4853</v>
      </c>
      <c r="E217">
        <v>2</v>
      </c>
      <c r="F217" t="s">
        <v>1396</v>
      </c>
      <c r="G217" t="s">
        <v>1587</v>
      </c>
      <c r="H217" t="s">
        <v>1591</v>
      </c>
      <c r="I217">
        <v>9706</v>
      </c>
      <c r="J217">
        <v>41</v>
      </c>
      <c r="K217" t="s">
        <v>1595</v>
      </c>
      <c r="L217" t="s">
        <v>1599</v>
      </c>
      <c r="M217" t="str">
        <f>IF(Table1[[#This Row],[Quantity]]&gt;2,"Bulk Order","Normal Order")</f>
        <v>Normal Order</v>
      </c>
      <c r="N217" t="str">
        <f>_xlfn.CONCAT(Table1[[#This Row],[Category]],"-",Table1[[#This Row],[City]])</f>
        <v>Fitness-Mumbai</v>
      </c>
      <c r="O217" t="str">
        <f>LEFT(Table1[[#This Row],[Category]],3)</f>
        <v>Fit</v>
      </c>
      <c r="P217" s="2"/>
    </row>
    <row r="218" spans="1:16" x14ac:dyDescent="0.35">
      <c r="A218" t="s">
        <v>228</v>
      </c>
      <c r="B218" t="s">
        <v>1221</v>
      </c>
      <c r="C218" t="s">
        <v>1226</v>
      </c>
      <c r="D218">
        <v>2044</v>
      </c>
      <c r="E218">
        <v>1</v>
      </c>
      <c r="F218" t="s">
        <v>1353</v>
      </c>
      <c r="G218" t="s">
        <v>1588</v>
      </c>
      <c r="H218" t="s">
        <v>1592</v>
      </c>
      <c r="I218">
        <v>2044</v>
      </c>
      <c r="J218">
        <v>50</v>
      </c>
      <c r="K218" t="s">
        <v>1595</v>
      </c>
      <c r="L218" t="s">
        <v>1599</v>
      </c>
      <c r="M218" t="str">
        <f>IF(Table1[[#This Row],[Quantity]]&gt;2,"Bulk Order","Normal Order")</f>
        <v>Normal Order</v>
      </c>
      <c r="N218" t="str">
        <f>_xlfn.CONCAT(Table1[[#This Row],[Category]],"-",Table1[[#This Row],[City]])</f>
        <v>Home-Delhi</v>
      </c>
      <c r="O218" t="str">
        <f>LEFT(Table1[[#This Row],[Category]],3)</f>
        <v>Hom</v>
      </c>
      <c r="P218" s="2"/>
    </row>
    <row r="219" spans="1:16" x14ac:dyDescent="0.35">
      <c r="A219" t="s">
        <v>229</v>
      </c>
      <c r="B219" t="s">
        <v>1221</v>
      </c>
      <c r="C219" t="s">
        <v>1228</v>
      </c>
      <c r="D219">
        <v>1303</v>
      </c>
      <c r="E219">
        <v>3</v>
      </c>
      <c r="F219" t="s">
        <v>1282</v>
      </c>
      <c r="G219" t="s">
        <v>1588</v>
      </c>
      <c r="H219" t="s">
        <v>1590</v>
      </c>
      <c r="I219">
        <v>3909</v>
      </c>
      <c r="J219">
        <v>37</v>
      </c>
      <c r="K219" t="s">
        <v>1596</v>
      </c>
      <c r="L219" t="s">
        <v>1597</v>
      </c>
      <c r="M219" t="str">
        <f>IF(Table1[[#This Row],[Quantity]]&gt;2,"Bulk Order","Normal Order")</f>
        <v>Bulk Order</v>
      </c>
      <c r="N219" t="str">
        <f>_xlfn.CONCAT(Table1[[#This Row],[Category]],"-",Table1[[#This Row],[City]])</f>
        <v>Electronics-Delhi</v>
      </c>
      <c r="O219" t="str">
        <f>LEFT(Table1[[#This Row],[Category]],3)</f>
        <v>Ele</v>
      </c>
      <c r="P219" s="2"/>
    </row>
    <row r="220" spans="1:16" x14ac:dyDescent="0.35">
      <c r="A220" t="s">
        <v>230</v>
      </c>
      <c r="B220" t="s">
        <v>1215</v>
      </c>
      <c r="C220" t="s">
        <v>1225</v>
      </c>
      <c r="D220">
        <v>1957</v>
      </c>
      <c r="E220">
        <v>2</v>
      </c>
      <c r="F220" t="s">
        <v>1397</v>
      </c>
      <c r="G220" t="s">
        <v>1585</v>
      </c>
      <c r="H220" t="s">
        <v>1590</v>
      </c>
      <c r="I220">
        <v>3914</v>
      </c>
      <c r="J220">
        <v>30</v>
      </c>
      <c r="K220" t="s">
        <v>1594</v>
      </c>
      <c r="L220" t="s">
        <v>1599</v>
      </c>
      <c r="M220" t="str">
        <f>IF(Table1[[#This Row],[Quantity]]&gt;2,"Bulk Order","Normal Order")</f>
        <v>Normal Order</v>
      </c>
      <c r="N220" t="str">
        <f>_xlfn.CONCAT(Table1[[#This Row],[Category]],"-",Table1[[#This Row],[City]])</f>
        <v>Fitness-Kolkata</v>
      </c>
      <c r="O220" t="str">
        <f>LEFT(Table1[[#This Row],[Category]],3)</f>
        <v>Fit</v>
      </c>
      <c r="P220" s="2"/>
    </row>
    <row r="221" spans="1:16" x14ac:dyDescent="0.35">
      <c r="A221" t="s">
        <v>231</v>
      </c>
      <c r="B221" t="s">
        <v>1215</v>
      </c>
      <c r="C221" t="s">
        <v>1228</v>
      </c>
      <c r="D221">
        <v>4534</v>
      </c>
      <c r="E221">
        <v>1</v>
      </c>
      <c r="F221" t="s">
        <v>1303</v>
      </c>
      <c r="G221" t="s">
        <v>1586</v>
      </c>
      <c r="H221" t="s">
        <v>1592</v>
      </c>
      <c r="I221">
        <v>4534</v>
      </c>
      <c r="J221">
        <v>100</v>
      </c>
      <c r="K221" t="s">
        <v>1594</v>
      </c>
      <c r="L221" t="s">
        <v>1598</v>
      </c>
      <c r="M221" t="str">
        <f>IF(Table1[[#This Row],[Quantity]]&gt;2,"Bulk Order","Normal Order")</f>
        <v>Normal Order</v>
      </c>
      <c r="N221" t="str">
        <f>_xlfn.CONCAT(Table1[[#This Row],[Category]],"-",Table1[[#This Row],[City]])</f>
        <v>Electronics-Hyderabad</v>
      </c>
      <c r="O221" t="str">
        <f>LEFT(Table1[[#This Row],[Category]],3)</f>
        <v>Ele</v>
      </c>
      <c r="P221" s="2"/>
    </row>
    <row r="222" spans="1:16" x14ac:dyDescent="0.35">
      <c r="A222" t="s">
        <v>232</v>
      </c>
      <c r="B222" t="s">
        <v>1217</v>
      </c>
      <c r="C222" t="s">
        <v>1228</v>
      </c>
      <c r="D222">
        <v>2502</v>
      </c>
      <c r="E222">
        <v>1</v>
      </c>
      <c r="F222" t="s">
        <v>1332</v>
      </c>
      <c r="G222" t="s">
        <v>1584</v>
      </c>
      <c r="H222" t="s">
        <v>1593</v>
      </c>
      <c r="I222">
        <v>2502</v>
      </c>
      <c r="J222">
        <v>34</v>
      </c>
      <c r="K222" t="s">
        <v>1595</v>
      </c>
      <c r="L222" t="s">
        <v>1597</v>
      </c>
      <c r="M222" t="str">
        <f>IF(Table1[[#This Row],[Quantity]]&gt;2,"Bulk Order","Normal Order")</f>
        <v>Normal Order</v>
      </c>
      <c r="N222" t="str">
        <f>_xlfn.CONCAT(Table1[[#This Row],[Category]],"-",Table1[[#This Row],[City]])</f>
        <v>Electronics-Chennai</v>
      </c>
      <c r="O222" t="str">
        <f>LEFT(Table1[[#This Row],[Category]],3)</f>
        <v>Ele</v>
      </c>
      <c r="P222" s="2"/>
    </row>
    <row r="223" spans="1:16" x14ac:dyDescent="0.35">
      <c r="A223" t="s">
        <v>233</v>
      </c>
      <c r="B223" t="s">
        <v>1214</v>
      </c>
      <c r="C223" t="s">
        <v>1228</v>
      </c>
      <c r="D223">
        <v>3523</v>
      </c>
      <c r="E223">
        <v>2</v>
      </c>
      <c r="F223" t="s">
        <v>1398</v>
      </c>
      <c r="G223" t="s">
        <v>1589</v>
      </c>
      <c r="H223" t="s">
        <v>1592</v>
      </c>
      <c r="I223">
        <v>7046</v>
      </c>
      <c r="J223">
        <v>66</v>
      </c>
      <c r="K223" t="s">
        <v>1595</v>
      </c>
      <c r="L223" t="s">
        <v>1598</v>
      </c>
      <c r="M223" t="str">
        <f>IF(Table1[[#This Row],[Quantity]]&gt;2,"Bulk Order","Normal Order")</f>
        <v>Normal Order</v>
      </c>
      <c r="N223" t="str">
        <f>_xlfn.CONCAT(Table1[[#This Row],[Category]],"-",Table1[[#This Row],[City]])</f>
        <v>Electronics-Bangalore</v>
      </c>
      <c r="O223" t="str">
        <f>LEFT(Table1[[#This Row],[Category]],3)</f>
        <v>Ele</v>
      </c>
      <c r="P223" s="2"/>
    </row>
    <row r="224" spans="1:16" x14ac:dyDescent="0.35">
      <c r="A224" t="s">
        <v>234</v>
      </c>
      <c r="B224" t="s">
        <v>1214</v>
      </c>
      <c r="C224" t="s">
        <v>1226</v>
      </c>
      <c r="D224">
        <v>4825</v>
      </c>
      <c r="E224">
        <v>2</v>
      </c>
      <c r="F224" t="s">
        <v>1399</v>
      </c>
      <c r="G224" t="s">
        <v>1589</v>
      </c>
      <c r="H224" t="s">
        <v>1590</v>
      </c>
      <c r="I224">
        <v>9650</v>
      </c>
      <c r="J224">
        <v>52</v>
      </c>
      <c r="K224" t="s">
        <v>1594</v>
      </c>
      <c r="L224" t="s">
        <v>1599</v>
      </c>
      <c r="M224" t="str">
        <f>IF(Table1[[#This Row],[Quantity]]&gt;2,"Bulk Order","Normal Order")</f>
        <v>Normal Order</v>
      </c>
      <c r="N224" t="str">
        <f>_xlfn.CONCAT(Table1[[#This Row],[Category]],"-",Table1[[#This Row],[City]])</f>
        <v>Home-Bangalore</v>
      </c>
      <c r="O224" t="str">
        <f>LEFT(Table1[[#This Row],[Category]],3)</f>
        <v>Hom</v>
      </c>
      <c r="P224" s="2"/>
    </row>
    <row r="225" spans="1:16" x14ac:dyDescent="0.35">
      <c r="A225" t="s">
        <v>235</v>
      </c>
      <c r="B225" t="s">
        <v>1218</v>
      </c>
      <c r="C225" t="s">
        <v>1228</v>
      </c>
      <c r="D225">
        <v>4176</v>
      </c>
      <c r="E225">
        <v>4</v>
      </c>
      <c r="F225" t="s">
        <v>1400</v>
      </c>
      <c r="G225" t="s">
        <v>1586</v>
      </c>
      <c r="H225" t="s">
        <v>1592</v>
      </c>
      <c r="I225">
        <v>16704</v>
      </c>
      <c r="J225">
        <v>100</v>
      </c>
      <c r="K225" t="s">
        <v>1594</v>
      </c>
      <c r="L225" t="s">
        <v>1599</v>
      </c>
      <c r="M225" t="str">
        <f>IF(Table1[[#This Row],[Quantity]]&gt;2,"Bulk Order","Normal Order")</f>
        <v>Bulk Order</v>
      </c>
      <c r="N225" t="str">
        <f>_xlfn.CONCAT(Table1[[#This Row],[Category]],"-",Table1[[#This Row],[City]])</f>
        <v>Electronics-Hyderabad</v>
      </c>
      <c r="O225" t="str">
        <f>LEFT(Table1[[#This Row],[Category]],3)</f>
        <v>Ele</v>
      </c>
      <c r="P225" s="2"/>
    </row>
    <row r="226" spans="1:16" x14ac:dyDescent="0.35">
      <c r="A226" t="s">
        <v>236</v>
      </c>
      <c r="B226" t="s">
        <v>1221</v>
      </c>
      <c r="C226" t="s">
        <v>1224</v>
      </c>
      <c r="D226">
        <v>1400</v>
      </c>
      <c r="E226">
        <v>4</v>
      </c>
      <c r="F226" t="s">
        <v>1325</v>
      </c>
      <c r="G226" t="s">
        <v>1588</v>
      </c>
      <c r="H226" t="s">
        <v>1593</v>
      </c>
      <c r="I226">
        <v>5600</v>
      </c>
      <c r="J226">
        <v>24</v>
      </c>
      <c r="K226" t="s">
        <v>1594</v>
      </c>
      <c r="L226" t="s">
        <v>1599</v>
      </c>
      <c r="M226" t="str">
        <f>IF(Table1[[#This Row],[Quantity]]&gt;2,"Bulk Order","Normal Order")</f>
        <v>Bulk Order</v>
      </c>
      <c r="N226" t="str">
        <f>_xlfn.CONCAT(Table1[[#This Row],[Category]],"-",Table1[[#This Row],[City]])</f>
        <v>Lifestyle-Delhi</v>
      </c>
      <c r="O226" t="str">
        <f>LEFT(Table1[[#This Row],[Category]],3)</f>
        <v>Lif</v>
      </c>
      <c r="P226" s="2"/>
    </row>
    <row r="227" spans="1:16" x14ac:dyDescent="0.35">
      <c r="A227" t="s">
        <v>237</v>
      </c>
      <c r="B227" t="s">
        <v>1220</v>
      </c>
      <c r="C227" t="s">
        <v>1227</v>
      </c>
      <c r="D227">
        <v>4614</v>
      </c>
      <c r="E227">
        <v>1</v>
      </c>
      <c r="F227" t="s">
        <v>1401</v>
      </c>
      <c r="G227" t="s">
        <v>1588</v>
      </c>
      <c r="H227" t="s">
        <v>1592</v>
      </c>
      <c r="I227">
        <v>4614</v>
      </c>
      <c r="J227">
        <v>31</v>
      </c>
      <c r="K227" t="s">
        <v>1595</v>
      </c>
      <c r="L227" t="s">
        <v>1599</v>
      </c>
      <c r="M227" t="str">
        <f>IF(Table1[[#This Row],[Quantity]]&gt;2,"Bulk Order","Normal Order")</f>
        <v>Normal Order</v>
      </c>
      <c r="N227" t="str">
        <f>_xlfn.CONCAT(Table1[[#This Row],[Category]],"-",Table1[[#This Row],[City]])</f>
        <v>Accessories-Delhi</v>
      </c>
      <c r="O227" t="str">
        <f>LEFT(Table1[[#This Row],[Category]],3)</f>
        <v>Acc</v>
      </c>
      <c r="P227" s="2"/>
    </row>
    <row r="228" spans="1:16" x14ac:dyDescent="0.35">
      <c r="A228" t="s">
        <v>238</v>
      </c>
      <c r="B228" t="s">
        <v>1219</v>
      </c>
      <c r="C228" t="s">
        <v>1226</v>
      </c>
      <c r="D228">
        <v>647</v>
      </c>
      <c r="E228">
        <v>1</v>
      </c>
      <c r="F228" t="s">
        <v>1281</v>
      </c>
      <c r="G228" t="s">
        <v>1584</v>
      </c>
      <c r="H228" t="s">
        <v>1591</v>
      </c>
      <c r="I228">
        <v>647</v>
      </c>
      <c r="J228">
        <v>69</v>
      </c>
      <c r="K228" t="s">
        <v>1595</v>
      </c>
      <c r="L228" t="s">
        <v>1597</v>
      </c>
      <c r="M228" t="str">
        <f>IF(Table1[[#This Row],[Quantity]]&gt;2,"Bulk Order","Normal Order")</f>
        <v>Normal Order</v>
      </c>
      <c r="N228" t="str">
        <f>_xlfn.CONCAT(Table1[[#This Row],[Category]],"-",Table1[[#This Row],[City]])</f>
        <v>Home-Chennai</v>
      </c>
      <c r="O228" t="str">
        <f>LEFT(Table1[[#This Row],[Category]],3)</f>
        <v>Hom</v>
      </c>
      <c r="P228" s="2"/>
    </row>
    <row r="229" spans="1:16" x14ac:dyDescent="0.35">
      <c r="A229" t="s">
        <v>239</v>
      </c>
      <c r="B229" t="s">
        <v>1221</v>
      </c>
      <c r="C229" t="s">
        <v>1224</v>
      </c>
      <c r="D229">
        <v>2004</v>
      </c>
      <c r="E229">
        <v>4</v>
      </c>
      <c r="F229" t="s">
        <v>1364</v>
      </c>
      <c r="G229" t="s">
        <v>1585</v>
      </c>
      <c r="H229" t="s">
        <v>1591</v>
      </c>
      <c r="I229">
        <v>8016</v>
      </c>
      <c r="J229">
        <v>40</v>
      </c>
      <c r="K229" t="s">
        <v>1595</v>
      </c>
      <c r="L229" t="s">
        <v>1599</v>
      </c>
      <c r="M229" t="str">
        <f>IF(Table1[[#This Row],[Quantity]]&gt;2,"Bulk Order","Normal Order")</f>
        <v>Bulk Order</v>
      </c>
      <c r="N229" t="str">
        <f>_xlfn.CONCAT(Table1[[#This Row],[Category]],"-",Table1[[#This Row],[City]])</f>
        <v>Lifestyle-Kolkata</v>
      </c>
      <c r="O229" t="str">
        <f>LEFT(Table1[[#This Row],[Category]],3)</f>
        <v>Lif</v>
      </c>
      <c r="P229" s="2"/>
    </row>
    <row r="230" spans="1:16" x14ac:dyDescent="0.35">
      <c r="A230" t="s">
        <v>240</v>
      </c>
      <c r="B230" t="s">
        <v>1219</v>
      </c>
      <c r="C230" t="s">
        <v>1224</v>
      </c>
      <c r="D230">
        <v>4045</v>
      </c>
      <c r="E230">
        <v>2</v>
      </c>
      <c r="F230" t="s">
        <v>1402</v>
      </c>
      <c r="G230" t="s">
        <v>1588</v>
      </c>
      <c r="H230" t="s">
        <v>1590</v>
      </c>
      <c r="I230">
        <v>8090</v>
      </c>
      <c r="J230">
        <v>43</v>
      </c>
      <c r="K230" t="s">
        <v>1595</v>
      </c>
      <c r="L230" t="s">
        <v>1598</v>
      </c>
      <c r="M230" t="str">
        <f>IF(Table1[[#This Row],[Quantity]]&gt;2,"Bulk Order","Normal Order")</f>
        <v>Normal Order</v>
      </c>
      <c r="N230" t="str">
        <f>_xlfn.CONCAT(Table1[[#This Row],[Category]],"-",Table1[[#This Row],[City]])</f>
        <v>Lifestyle-Delhi</v>
      </c>
      <c r="O230" t="str">
        <f>LEFT(Table1[[#This Row],[Category]],3)</f>
        <v>Lif</v>
      </c>
      <c r="P230" s="2"/>
    </row>
    <row r="231" spans="1:16" x14ac:dyDescent="0.35">
      <c r="A231" t="s">
        <v>241</v>
      </c>
      <c r="B231" t="s">
        <v>1221</v>
      </c>
      <c r="C231" t="s">
        <v>1226</v>
      </c>
      <c r="D231">
        <v>2092</v>
      </c>
      <c r="E231">
        <v>3</v>
      </c>
      <c r="F231" t="s">
        <v>1403</v>
      </c>
      <c r="G231" t="s">
        <v>1584</v>
      </c>
      <c r="H231" t="s">
        <v>1591</v>
      </c>
      <c r="I231">
        <v>6276</v>
      </c>
      <c r="J231">
        <v>91</v>
      </c>
      <c r="K231" t="s">
        <v>1595</v>
      </c>
      <c r="L231" t="s">
        <v>1597</v>
      </c>
      <c r="M231" t="str">
        <f>IF(Table1[[#This Row],[Quantity]]&gt;2,"Bulk Order","Normal Order")</f>
        <v>Bulk Order</v>
      </c>
      <c r="N231" t="str">
        <f>_xlfn.CONCAT(Table1[[#This Row],[Category]],"-",Table1[[#This Row],[City]])</f>
        <v>Home-Chennai</v>
      </c>
      <c r="O231" t="str">
        <f>LEFT(Table1[[#This Row],[Category]],3)</f>
        <v>Hom</v>
      </c>
      <c r="P231" s="2"/>
    </row>
    <row r="232" spans="1:16" x14ac:dyDescent="0.35">
      <c r="A232" t="s">
        <v>242</v>
      </c>
      <c r="B232" t="s">
        <v>1215</v>
      </c>
      <c r="C232" t="s">
        <v>1228</v>
      </c>
      <c r="D232">
        <v>1703</v>
      </c>
      <c r="E232">
        <v>3</v>
      </c>
      <c r="F232" t="s">
        <v>1257</v>
      </c>
      <c r="G232" t="s">
        <v>1586</v>
      </c>
      <c r="H232" t="s">
        <v>1593</v>
      </c>
      <c r="I232">
        <v>5109</v>
      </c>
      <c r="J232">
        <v>47</v>
      </c>
      <c r="K232" t="s">
        <v>1595</v>
      </c>
      <c r="L232" t="s">
        <v>1599</v>
      </c>
      <c r="M232" t="str">
        <f>IF(Table1[[#This Row],[Quantity]]&gt;2,"Bulk Order","Normal Order")</f>
        <v>Bulk Order</v>
      </c>
      <c r="N232" t="str">
        <f>_xlfn.CONCAT(Table1[[#This Row],[Category]],"-",Table1[[#This Row],[City]])</f>
        <v>Electronics-Hyderabad</v>
      </c>
      <c r="O232" t="str">
        <f>LEFT(Table1[[#This Row],[Category]],3)</f>
        <v>Ele</v>
      </c>
      <c r="P232" s="2"/>
    </row>
    <row r="233" spans="1:16" x14ac:dyDescent="0.35">
      <c r="A233" t="s">
        <v>243</v>
      </c>
      <c r="B233" t="s">
        <v>1215</v>
      </c>
      <c r="C233" t="s">
        <v>1225</v>
      </c>
      <c r="D233">
        <v>2319</v>
      </c>
      <c r="E233">
        <v>1</v>
      </c>
      <c r="F233" t="s">
        <v>1340</v>
      </c>
      <c r="G233" t="s">
        <v>1588</v>
      </c>
      <c r="H233" t="s">
        <v>1593</v>
      </c>
      <c r="I233">
        <v>2319</v>
      </c>
      <c r="J233">
        <v>85</v>
      </c>
      <c r="K233" t="s">
        <v>1595</v>
      </c>
      <c r="L233" t="s">
        <v>1599</v>
      </c>
      <c r="M233" t="str">
        <f>IF(Table1[[#This Row],[Quantity]]&gt;2,"Bulk Order","Normal Order")</f>
        <v>Normal Order</v>
      </c>
      <c r="N233" t="str">
        <f>_xlfn.CONCAT(Table1[[#This Row],[Category]],"-",Table1[[#This Row],[City]])</f>
        <v>Fitness-Delhi</v>
      </c>
      <c r="O233" t="str">
        <f>LEFT(Table1[[#This Row],[Category]],3)</f>
        <v>Fit</v>
      </c>
      <c r="P233" s="2"/>
    </row>
    <row r="234" spans="1:16" x14ac:dyDescent="0.35">
      <c r="A234" t="s">
        <v>244</v>
      </c>
      <c r="B234" t="s">
        <v>1213</v>
      </c>
      <c r="C234" t="s">
        <v>1227</v>
      </c>
      <c r="D234">
        <v>4779</v>
      </c>
      <c r="E234">
        <v>3</v>
      </c>
      <c r="F234" t="s">
        <v>1312</v>
      </c>
      <c r="G234" t="s">
        <v>1587</v>
      </c>
      <c r="H234" t="s">
        <v>1592</v>
      </c>
      <c r="I234">
        <v>14337</v>
      </c>
      <c r="J234">
        <v>53</v>
      </c>
      <c r="K234" t="s">
        <v>1595</v>
      </c>
      <c r="L234" t="s">
        <v>1599</v>
      </c>
      <c r="M234" t="str">
        <f>IF(Table1[[#This Row],[Quantity]]&gt;2,"Bulk Order","Normal Order")</f>
        <v>Bulk Order</v>
      </c>
      <c r="N234" t="str">
        <f>_xlfn.CONCAT(Table1[[#This Row],[Category]],"-",Table1[[#This Row],[City]])</f>
        <v>Accessories-Mumbai</v>
      </c>
      <c r="O234" t="str">
        <f>LEFT(Table1[[#This Row],[Category]],3)</f>
        <v>Acc</v>
      </c>
      <c r="P234" s="2"/>
    </row>
    <row r="235" spans="1:16" x14ac:dyDescent="0.35">
      <c r="A235" t="s">
        <v>245</v>
      </c>
      <c r="B235" t="s">
        <v>1218</v>
      </c>
      <c r="C235" t="s">
        <v>1224</v>
      </c>
      <c r="D235">
        <v>4642</v>
      </c>
      <c r="E235">
        <v>1</v>
      </c>
      <c r="F235" t="s">
        <v>1404</v>
      </c>
      <c r="G235" t="s">
        <v>1586</v>
      </c>
      <c r="H235" t="s">
        <v>1593</v>
      </c>
      <c r="I235">
        <v>4642</v>
      </c>
      <c r="J235">
        <v>92</v>
      </c>
      <c r="K235" t="s">
        <v>1596</v>
      </c>
      <c r="L235" t="s">
        <v>1597</v>
      </c>
      <c r="M235" t="str">
        <f>IF(Table1[[#This Row],[Quantity]]&gt;2,"Bulk Order","Normal Order")</f>
        <v>Normal Order</v>
      </c>
      <c r="N235" t="str">
        <f>_xlfn.CONCAT(Table1[[#This Row],[Category]],"-",Table1[[#This Row],[City]])</f>
        <v>Lifestyle-Hyderabad</v>
      </c>
      <c r="O235" t="str">
        <f>LEFT(Table1[[#This Row],[Category]],3)</f>
        <v>Lif</v>
      </c>
      <c r="P235" s="2"/>
    </row>
    <row r="236" spans="1:16" x14ac:dyDescent="0.35">
      <c r="A236" t="s">
        <v>246</v>
      </c>
      <c r="B236" t="s">
        <v>1217</v>
      </c>
      <c r="C236" t="s">
        <v>1226</v>
      </c>
      <c r="D236">
        <v>2709</v>
      </c>
      <c r="E236">
        <v>1</v>
      </c>
      <c r="F236" t="s">
        <v>1284</v>
      </c>
      <c r="G236" t="s">
        <v>1588</v>
      </c>
      <c r="H236" t="s">
        <v>1591</v>
      </c>
      <c r="I236">
        <v>2709</v>
      </c>
      <c r="J236">
        <v>26</v>
      </c>
      <c r="K236" t="s">
        <v>1596</v>
      </c>
      <c r="L236" t="s">
        <v>1597</v>
      </c>
      <c r="M236" t="str">
        <f>IF(Table1[[#This Row],[Quantity]]&gt;2,"Bulk Order","Normal Order")</f>
        <v>Normal Order</v>
      </c>
      <c r="N236" t="str">
        <f>_xlfn.CONCAT(Table1[[#This Row],[Category]],"-",Table1[[#This Row],[City]])</f>
        <v>Home-Delhi</v>
      </c>
      <c r="O236" t="str">
        <f>LEFT(Table1[[#This Row],[Category]],3)</f>
        <v>Hom</v>
      </c>
      <c r="P236" s="2"/>
    </row>
    <row r="237" spans="1:16" x14ac:dyDescent="0.35">
      <c r="A237" t="s">
        <v>247</v>
      </c>
      <c r="B237" t="s">
        <v>1220</v>
      </c>
      <c r="C237" t="s">
        <v>1227</v>
      </c>
      <c r="D237">
        <v>3119</v>
      </c>
      <c r="E237">
        <v>3</v>
      </c>
      <c r="F237" t="s">
        <v>1405</v>
      </c>
      <c r="G237" t="s">
        <v>1589</v>
      </c>
      <c r="H237" t="s">
        <v>1591</v>
      </c>
      <c r="I237">
        <v>9357</v>
      </c>
      <c r="J237">
        <v>89</v>
      </c>
      <c r="K237" t="s">
        <v>1595</v>
      </c>
      <c r="L237" t="s">
        <v>1598</v>
      </c>
      <c r="M237" t="str">
        <f>IF(Table1[[#This Row],[Quantity]]&gt;2,"Bulk Order","Normal Order")</f>
        <v>Bulk Order</v>
      </c>
      <c r="N237" t="str">
        <f>_xlfn.CONCAT(Table1[[#This Row],[Category]],"-",Table1[[#This Row],[City]])</f>
        <v>Accessories-Bangalore</v>
      </c>
      <c r="O237" t="str">
        <f>LEFT(Table1[[#This Row],[Category]],3)</f>
        <v>Acc</v>
      </c>
      <c r="P237" s="2"/>
    </row>
    <row r="238" spans="1:16" x14ac:dyDescent="0.35">
      <c r="A238" t="s">
        <v>248</v>
      </c>
      <c r="B238" t="s">
        <v>1213</v>
      </c>
      <c r="C238" t="s">
        <v>1226</v>
      </c>
      <c r="D238">
        <v>2203</v>
      </c>
      <c r="E238">
        <v>2</v>
      </c>
      <c r="F238" t="s">
        <v>1406</v>
      </c>
      <c r="G238" t="s">
        <v>1588</v>
      </c>
      <c r="H238" t="s">
        <v>1592</v>
      </c>
      <c r="I238">
        <v>4406</v>
      </c>
      <c r="J238">
        <v>59</v>
      </c>
      <c r="K238" t="s">
        <v>1595</v>
      </c>
      <c r="L238" t="s">
        <v>1598</v>
      </c>
      <c r="M238" t="str">
        <f>IF(Table1[[#This Row],[Quantity]]&gt;2,"Bulk Order","Normal Order")</f>
        <v>Normal Order</v>
      </c>
      <c r="N238" t="str">
        <f>_xlfn.CONCAT(Table1[[#This Row],[Category]],"-",Table1[[#This Row],[City]])</f>
        <v>Home-Delhi</v>
      </c>
      <c r="O238" t="str">
        <f>LEFT(Table1[[#This Row],[Category]],3)</f>
        <v>Hom</v>
      </c>
      <c r="P238" s="2"/>
    </row>
    <row r="239" spans="1:16" x14ac:dyDescent="0.35">
      <c r="A239" t="s">
        <v>249</v>
      </c>
      <c r="B239" t="s">
        <v>1218</v>
      </c>
      <c r="C239" t="s">
        <v>1225</v>
      </c>
      <c r="D239">
        <v>278</v>
      </c>
      <c r="E239">
        <v>4</v>
      </c>
      <c r="F239" t="s">
        <v>1407</v>
      </c>
      <c r="G239" t="s">
        <v>1589</v>
      </c>
      <c r="H239" t="s">
        <v>1590</v>
      </c>
      <c r="I239">
        <v>1112</v>
      </c>
      <c r="J239">
        <v>30</v>
      </c>
      <c r="K239" t="s">
        <v>1595</v>
      </c>
      <c r="L239" t="s">
        <v>1599</v>
      </c>
      <c r="M239" t="str">
        <f>IF(Table1[[#This Row],[Quantity]]&gt;2,"Bulk Order","Normal Order")</f>
        <v>Bulk Order</v>
      </c>
      <c r="N239" t="str">
        <f>_xlfn.CONCAT(Table1[[#This Row],[Category]],"-",Table1[[#This Row],[City]])</f>
        <v>Fitness-Bangalore</v>
      </c>
      <c r="O239" t="str">
        <f>LEFT(Table1[[#This Row],[Category]],3)</f>
        <v>Fit</v>
      </c>
      <c r="P239" s="2"/>
    </row>
    <row r="240" spans="1:16" x14ac:dyDescent="0.35">
      <c r="A240" t="s">
        <v>250</v>
      </c>
      <c r="B240" t="s">
        <v>1222</v>
      </c>
      <c r="C240" t="s">
        <v>1224</v>
      </c>
      <c r="D240">
        <v>702</v>
      </c>
      <c r="E240">
        <v>4</v>
      </c>
      <c r="F240" t="s">
        <v>1408</v>
      </c>
      <c r="G240" t="s">
        <v>1584</v>
      </c>
      <c r="H240" t="s">
        <v>1590</v>
      </c>
      <c r="I240">
        <v>2808</v>
      </c>
      <c r="J240">
        <v>61</v>
      </c>
      <c r="K240" t="s">
        <v>1595</v>
      </c>
      <c r="L240" t="s">
        <v>1598</v>
      </c>
      <c r="M240" t="str">
        <f>IF(Table1[[#This Row],[Quantity]]&gt;2,"Bulk Order","Normal Order")</f>
        <v>Bulk Order</v>
      </c>
      <c r="N240" t="str">
        <f>_xlfn.CONCAT(Table1[[#This Row],[Category]],"-",Table1[[#This Row],[City]])</f>
        <v>Lifestyle-Chennai</v>
      </c>
      <c r="O240" t="str">
        <f>LEFT(Table1[[#This Row],[Category]],3)</f>
        <v>Lif</v>
      </c>
      <c r="P240" s="2"/>
    </row>
    <row r="241" spans="1:16" x14ac:dyDescent="0.35">
      <c r="A241" t="s">
        <v>251</v>
      </c>
      <c r="B241" t="s">
        <v>1213</v>
      </c>
      <c r="C241" t="s">
        <v>1225</v>
      </c>
      <c r="D241">
        <v>738</v>
      </c>
      <c r="E241">
        <v>4</v>
      </c>
      <c r="F241" t="s">
        <v>1409</v>
      </c>
      <c r="G241" t="s">
        <v>1584</v>
      </c>
      <c r="H241" t="s">
        <v>1591</v>
      </c>
      <c r="I241">
        <v>2952</v>
      </c>
      <c r="J241">
        <v>31</v>
      </c>
      <c r="K241" t="s">
        <v>1594</v>
      </c>
      <c r="L241" t="s">
        <v>1599</v>
      </c>
      <c r="M241" t="str">
        <f>IF(Table1[[#This Row],[Quantity]]&gt;2,"Bulk Order","Normal Order")</f>
        <v>Bulk Order</v>
      </c>
      <c r="N241" t="str">
        <f>_xlfn.CONCAT(Table1[[#This Row],[Category]],"-",Table1[[#This Row],[City]])</f>
        <v>Fitness-Chennai</v>
      </c>
      <c r="O241" t="str">
        <f>LEFT(Table1[[#This Row],[Category]],3)</f>
        <v>Fit</v>
      </c>
      <c r="P241" s="2"/>
    </row>
    <row r="242" spans="1:16" x14ac:dyDescent="0.35">
      <c r="A242" t="s">
        <v>252</v>
      </c>
      <c r="B242" t="s">
        <v>1217</v>
      </c>
      <c r="C242" t="s">
        <v>1224</v>
      </c>
      <c r="D242">
        <v>4270</v>
      </c>
      <c r="E242">
        <v>1</v>
      </c>
      <c r="F242" t="s">
        <v>1326</v>
      </c>
      <c r="G242" t="s">
        <v>1587</v>
      </c>
      <c r="H242" t="s">
        <v>1593</v>
      </c>
      <c r="I242">
        <v>4270</v>
      </c>
      <c r="J242">
        <v>50</v>
      </c>
      <c r="K242" t="s">
        <v>1595</v>
      </c>
      <c r="L242" t="s">
        <v>1598</v>
      </c>
      <c r="M242" t="str">
        <f>IF(Table1[[#This Row],[Quantity]]&gt;2,"Bulk Order","Normal Order")</f>
        <v>Normal Order</v>
      </c>
      <c r="N242" t="str">
        <f>_xlfn.CONCAT(Table1[[#This Row],[Category]],"-",Table1[[#This Row],[City]])</f>
        <v>Lifestyle-Mumbai</v>
      </c>
      <c r="O242" t="str">
        <f>LEFT(Table1[[#This Row],[Category]],3)</f>
        <v>Lif</v>
      </c>
      <c r="P242" s="2"/>
    </row>
    <row r="243" spans="1:16" x14ac:dyDescent="0.35">
      <c r="A243" t="s">
        <v>253</v>
      </c>
      <c r="B243" t="s">
        <v>1220</v>
      </c>
      <c r="C243" t="s">
        <v>1224</v>
      </c>
      <c r="D243">
        <v>941</v>
      </c>
      <c r="E243">
        <v>4</v>
      </c>
      <c r="F243" t="s">
        <v>1254</v>
      </c>
      <c r="G243" t="s">
        <v>1589</v>
      </c>
      <c r="H243" t="s">
        <v>1591</v>
      </c>
      <c r="I243">
        <v>3764</v>
      </c>
      <c r="J243">
        <v>55</v>
      </c>
      <c r="K243" t="s">
        <v>1595</v>
      </c>
      <c r="L243" t="s">
        <v>1599</v>
      </c>
      <c r="M243" t="str">
        <f>IF(Table1[[#This Row],[Quantity]]&gt;2,"Bulk Order","Normal Order")</f>
        <v>Bulk Order</v>
      </c>
      <c r="N243" t="str">
        <f>_xlfn.CONCAT(Table1[[#This Row],[Category]],"-",Table1[[#This Row],[City]])</f>
        <v>Lifestyle-Bangalore</v>
      </c>
      <c r="O243" t="str">
        <f>LEFT(Table1[[#This Row],[Category]],3)</f>
        <v>Lif</v>
      </c>
      <c r="P243" s="2"/>
    </row>
    <row r="244" spans="1:16" x14ac:dyDescent="0.35">
      <c r="A244" t="s">
        <v>254</v>
      </c>
      <c r="B244" t="s">
        <v>1221</v>
      </c>
      <c r="C244" t="s">
        <v>1224</v>
      </c>
      <c r="D244">
        <v>3841</v>
      </c>
      <c r="E244">
        <v>1</v>
      </c>
      <c r="F244" t="s">
        <v>1410</v>
      </c>
      <c r="G244" t="s">
        <v>1586</v>
      </c>
      <c r="H244" t="s">
        <v>1591</v>
      </c>
      <c r="I244">
        <v>3841</v>
      </c>
      <c r="J244">
        <v>55</v>
      </c>
      <c r="K244" t="s">
        <v>1595</v>
      </c>
      <c r="L244" t="s">
        <v>1599</v>
      </c>
      <c r="M244" t="str">
        <f>IF(Table1[[#This Row],[Quantity]]&gt;2,"Bulk Order","Normal Order")</f>
        <v>Normal Order</v>
      </c>
      <c r="N244" t="str">
        <f>_xlfn.CONCAT(Table1[[#This Row],[Category]],"-",Table1[[#This Row],[City]])</f>
        <v>Lifestyle-Hyderabad</v>
      </c>
      <c r="O244" t="str">
        <f>LEFT(Table1[[#This Row],[Category]],3)</f>
        <v>Lif</v>
      </c>
      <c r="P244" s="2"/>
    </row>
    <row r="245" spans="1:16" x14ac:dyDescent="0.35">
      <c r="A245" t="s">
        <v>255</v>
      </c>
      <c r="B245" t="s">
        <v>1218</v>
      </c>
      <c r="C245" t="s">
        <v>1227</v>
      </c>
      <c r="D245">
        <v>3714</v>
      </c>
      <c r="E245">
        <v>1</v>
      </c>
      <c r="F245" t="s">
        <v>1336</v>
      </c>
      <c r="G245" t="s">
        <v>1586</v>
      </c>
      <c r="H245" t="s">
        <v>1593</v>
      </c>
      <c r="I245">
        <v>3714</v>
      </c>
      <c r="J245">
        <v>71</v>
      </c>
      <c r="K245" t="s">
        <v>1594</v>
      </c>
      <c r="L245" t="s">
        <v>1598</v>
      </c>
      <c r="M245" t="str">
        <f>IF(Table1[[#This Row],[Quantity]]&gt;2,"Bulk Order","Normal Order")</f>
        <v>Normal Order</v>
      </c>
      <c r="N245" t="str">
        <f>_xlfn.CONCAT(Table1[[#This Row],[Category]],"-",Table1[[#This Row],[City]])</f>
        <v>Accessories-Hyderabad</v>
      </c>
      <c r="O245" t="str">
        <f>LEFT(Table1[[#This Row],[Category]],3)</f>
        <v>Acc</v>
      </c>
      <c r="P245" s="2"/>
    </row>
    <row r="246" spans="1:16" x14ac:dyDescent="0.35">
      <c r="A246" t="s">
        <v>256</v>
      </c>
      <c r="B246" t="s">
        <v>1214</v>
      </c>
      <c r="C246" t="s">
        <v>1225</v>
      </c>
      <c r="D246">
        <v>2203</v>
      </c>
      <c r="E246">
        <v>1</v>
      </c>
      <c r="F246" t="s">
        <v>1238</v>
      </c>
      <c r="G246" t="s">
        <v>1584</v>
      </c>
      <c r="H246" t="s">
        <v>1590</v>
      </c>
      <c r="I246">
        <v>2203</v>
      </c>
      <c r="J246">
        <v>47</v>
      </c>
      <c r="K246" t="s">
        <v>1596</v>
      </c>
      <c r="L246" t="s">
        <v>1599</v>
      </c>
      <c r="M246" t="str">
        <f>IF(Table1[[#This Row],[Quantity]]&gt;2,"Bulk Order","Normal Order")</f>
        <v>Normal Order</v>
      </c>
      <c r="N246" t="str">
        <f>_xlfn.CONCAT(Table1[[#This Row],[Category]],"-",Table1[[#This Row],[City]])</f>
        <v>Fitness-Chennai</v>
      </c>
      <c r="O246" t="str">
        <f>LEFT(Table1[[#This Row],[Category]],3)</f>
        <v>Fit</v>
      </c>
      <c r="P246" s="2"/>
    </row>
    <row r="247" spans="1:16" x14ac:dyDescent="0.35">
      <c r="A247" t="s">
        <v>257</v>
      </c>
      <c r="B247" t="s">
        <v>1220</v>
      </c>
      <c r="C247" t="s">
        <v>1225</v>
      </c>
      <c r="D247">
        <v>2246</v>
      </c>
      <c r="E247">
        <v>4</v>
      </c>
      <c r="F247" t="s">
        <v>1339</v>
      </c>
      <c r="G247" t="s">
        <v>1587</v>
      </c>
      <c r="H247" t="s">
        <v>1591</v>
      </c>
      <c r="I247">
        <v>8984</v>
      </c>
      <c r="J247">
        <v>60</v>
      </c>
      <c r="K247" t="s">
        <v>1595</v>
      </c>
      <c r="L247" t="s">
        <v>1598</v>
      </c>
      <c r="M247" t="str">
        <f>IF(Table1[[#This Row],[Quantity]]&gt;2,"Bulk Order","Normal Order")</f>
        <v>Bulk Order</v>
      </c>
      <c r="N247" t="str">
        <f>_xlfn.CONCAT(Table1[[#This Row],[Category]],"-",Table1[[#This Row],[City]])</f>
        <v>Fitness-Mumbai</v>
      </c>
      <c r="O247" t="str">
        <f>LEFT(Table1[[#This Row],[Category]],3)</f>
        <v>Fit</v>
      </c>
      <c r="P247" s="2"/>
    </row>
    <row r="248" spans="1:16" x14ac:dyDescent="0.35">
      <c r="A248" t="s">
        <v>258</v>
      </c>
      <c r="B248" t="s">
        <v>1223</v>
      </c>
      <c r="C248" t="s">
        <v>1225</v>
      </c>
      <c r="D248">
        <v>2538</v>
      </c>
      <c r="E248">
        <v>3</v>
      </c>
      <c r="F248" t="s">
        <v>1411</v>
      </c>
      <c r="G248" t="s">
        <v>1587</v>
      </c>
      <c r="H248" t="s">
        <v>1591</v>
      </c>
      <c r="I248">
        <v>7614</v>
      </c>
      <c r="J248">
        <v>96</v>
      </c>
      <c r="K248" t="s">
        <v>1595</v>
      </c>
      <c r="L248" t="s">
        <v>1599</v>
      </c>
      <c r="M248" t="str">
        <f>IF(Table1[[#This Row],[Quantity]]&gt;2,"Bulk Order","Normal Order")</f>
        <v>Bulk Order</v>
      </c>
      <c r="N248" t="str">
        <f>_xlfn.CONCAT(Table1[[#This Row],[Category]],"-",Table1[[#This Row],[City]])</f>
        <v>Fitness-Mumbai</v>
      </c>
      <c r="O248" t="str">
        <f>LEFT(Table1[[#This Row],[Category]],3)</f>
        <v>Fit</v>
      </c>
      <c r="P248" s="2"/>
    </row>
    <row r="249" spans="1:16" x14ac:dyDescent="0.35">
      <c r="A249" t="s">
        <v>259</v>
      </c>
      <c r="B249" t="s">
        <v>1218</v>
      </c>
      <c r="C249" t="s">
        <v>1227</v>
      </c>
      <c r="D249">
        <v>3087</v>
      </c>
      <c r="E249">
        <v>4</v>
      </c>
      <c r="F249" t="s">
        <v>1310</v>
      </c>
      <c r="G249" t="s">
        <v>1585</v>
      </c>
      <c r="H249" t="s">
        <v>1590</v>
      </c>
      <c r="I249">
        <v>12348</v>
      </c>
      <c r="J249">
        <v>29</v>
      </c>
      <c r="K249" t="s">
        <v>1594</v>
      </c>
      <c r="L249" t="s">
        <v>1598</v>
      </c>
      <c r="M249" t="str">
        <f>IF(Table1[[#This Row],[Quantity]]&gt;2,"Bulk Order","Normal Order")</f>
        <v>Bulk Order</v>
      </c>
      <c r="N249" t="str">
        <f>_xlfn.CONCAT(Table1[[#This Row],[Category]],"-",Table1[[#This Row],[City]])</f>
        <v>Accessories-Kolkata</v>
      </c>
      <c r="O249" t="str">
        <f>LEFT(Table1[[#This Row],[Category]],3)</f>
        <v>Acc</v>
      </c>
      <c r="P249" s="2"/>
    </row>
    <row r="250" spans="1:16" x14ac:dyDescent="0.35">
      <c r="A250" t="s">
        <v>260</v>
      </c>
      <c r="B250" t="s">
        <v>1217</v>
      </c>
      <c r="C250" t="s">
        <v>1225</v>
      </c>
      <c r="D250">
        <v>2670</v>
      </c>
      <c r="E250">
        <v>3</v>
      </c>
      <c r="F250" t="s">
        <v>1284</v>
      </c>
      <c r="G250" t="s">
        <v>1588</v>
      </c>
      <c r="H250" t="s">
        <v>1590</v>
      </c>
      <c r="I250">
        <v>8010</v>
      </c>
      <c r="J250">
        <v>36</v>
      </c>
      <c r="K250" t="s">
        <v>1594</v>
      </c>
      <c r="L250" t="s">
        <v>1598</v>
      </c>
      <c r="M250" t="str">
        <f>IF(Table1[[#This Row],[Quantity]]&gt;2,"Bulk Order","Normal Order")</f>
        <v>Bulk Order</v>
      </c>
      <c r="N250" t="str">
        <f>_xlfn.CONCAT(Table1[[#This Row],[Category]],"-",Table1[[#This Row],[City]])</f>
        <v>Fitness-Delhi</v>
      </c>
      <c r="O250" t="str">
        <f>LEFT(Table1[[#This Row],[Category]],3)</f>
        <v>Fit</v>
      </c>
      <c r="P250" s="2"/>
    </row>
    <row r="251" spans="1:16" x14ac:dyDescent="0.35">
      <c r="A251" t="s">
        <v>261</v>
      </c>
      <c r="B251" t="s">
        <v>1213</v>
      </c>
      <c r="C251" t="s">
        <v>1227</v>
      </c>
      <c r="D251">
        <v>688</v>
      </c>
      <c r="E251">
        <v>3</v>
      </c>
      <c r="F251" t="s">
        <v>1405</v>
      </c>
      <c r="G251" t="s">
        <v>1588</v>
      </c>
      <c r="H251" t="s">
        <v>1592</v>
      </c>
      <c r="I251">
        <v>2064</v>
      </c>
      <c r="J251">
        <v>40</v>
      </c>
      <c r="K251" t="s">
        <v>1595</v>
      </c>
      <c r="L251" t="s">
        <v>1599</v>
      </c>
      <c r="M251" t="str">
        <f>IF(Table1[[#This Row],[Quantity]]&gt;2,"Bulk Order","Normal Order")</f>
        <v>Bulk Order</v>
      </c>
      <c r="N251" t="str">
        <f>_xlfn.CONCAT(Table1[[#This Row],[Category]],"-",Table1[[#This Row],[City]])</f>
        <v>Accessories-Delhi</v>
      </c>
      <c r="O251" t="str">
        <f>LEFT(Table1[[#This Row],[Category]],3)</f>
        <v>Acc</v>
      </c>
      <c r="P251" s="2"/>
    </row>
    <row r="252" spans="1:16" x14ac:dyDescent="0.35">
      <c r="A252" t="s">
        <v>262</v>
      </c>
      <c r="B252" t="s">
        <v>1220</v>
      </c>
      <c r="C252" t="s">
        <v>1225</v>
      </c>
      <c r="D252">
        <v>2594</v>
      </c>
      <c r="E252">
        <v>3</v>
      </c>
      <c r="F252" t="s">
        <v>1383</v>
      </c>
      <c r="G252" t="s">
        <v>1584</v>
      </c>
      <c r="H252" t="s">
        <v>1591</v>
      </c>
      <c r="I252">
        <v>7782</v>
      </c>
      <c r="J252">
        <v>97</v>
      </c>
      <c r="K252" t="s">
        <v>1594</v>
      </c>
      <c r="L252" t="s">
        <v>1599</v>
      </c>
      <c r="M252" t="str">
        <f>IF(Table1[[#This Row],[Quantity]]&gt;2,"Bulk Order","Normal Order")</f>
        <v>Bulk Order</v>
      </c>
      <c r="N252" t="str">
        <f>_xlfn.CONCAT(Table1[[#This Row],[Category]],"-",Table1[[#This Row],[City]])</f>
        <v>Fitness-Chennai</v>
      </c>
      <c r="O252" t="str">
        <f>LEFT(Table1[[#This Row],[Category]],3)</f>
        <v>Fit</v>
      </c>
      <c r="P252" s="2"/>
    </row>
    <row r="253" spans="1:16" x14ac:dyDescent="0.35">
      <c r="A253" t="s">
        <v>263</v>
      </c>
      <c r="B253" t="s">
        <v>1213</v>
      </c>
      <c r="C253" t="s">
        <v>1228</v>
      </c>
      <c r="D253">
        <v>3880</v>
      </c>
      <c r="E253">
        <v>2</v>
      </c>
      <c r="F253" t="s">
        <v>1342</v>
      </c>
      <c r="G253" t="s">
        <v>1586</v>
      </c>
      <c r="H253" t="s">
        <v>1591</v>
      </c>
      <c r="I253">
        <v>7760</v>
      </c>
      <c r="J253">
        <v>85</v>
      </c>
      <c r="K253" t="s">
        <v>1595</v>
      </c>
      <c r="L253" t="s">
        <v>1599</v>
      </c>
      <c r="M253" t="str">
        <f>IF(Table1[[#This Row],[Quantity]]&gt;2,"Bulk Order","Normal Order")</f>
        <v>Normal Order</v>
      </c>
      <c r="N253" t="str">
        <f>_xlfn.CONCAT(Table1[[#This Row],[Category]],"-",Table1[[#This Row],[City]])</f>
        <v>Electronics-Hyderabad</v>
      </c>
      <c r="O253" t="str">
        <f>LEFT(Table1[[#This Row],[Category]],3)</f>
        <v>Ele</v>
      </c>
      <c r="P253" s="2"/>
    </row>
    <row r="254" spans="1:16" x14ac:dyDescent="0.35">
      <c r="A254" t="s">
        <v>264</v>
      </c>
      <c r="B254" t="s">
        <v>1212</v>
      </c>
      <c r="C254" t="s">
        <v>1228</v>
      </c>
      <c r="D254">
        <v>4123</v>
      </c>
      <c r="E254">
        <v>2</v>
      </c>
      <c r="F254" t="s">
        <v>1332</v>
      </c>
      <c r="G254" t="s">
        <v>1586</v>
      </c>
      <c r="H254" t="s">
        <v>1591</v>
      </c>
      <c r="I254">
        <v>8246</v>
      </c>
      <c r="J254">
        <v>45</v>
      </c>
      <c r="K254" t="s">
        <v>1595</v>
      </c>
      <c r="L254" t="s">
        <v>1599</v>
      </c>
      <c r="M254" t="str">
        <f>IF(Table1[[#This Row],[Quantity]]&gt;2,"Bulk Order","Normal Order")</f>
        <v>Normal Order</v>
      </c>
      <c r="N254" t="str">
        <f>_xlfn.CONCAT(Table1[[#This Row],[Category]],"-",Table1[[#This Row],[City]])</f>
        <v>Electronics-Hyderabad</v>
      </c>
      <c r="O254" t="str">
        <f>LEFT(Table1[[#This Row],[Category]],3)</f>
        <v>Ele</v>
      </c>
      <c r="P254" s="2"/>
    </row>
    <row r="255" spans="1:16" x14ac:dyDescent="0.35">
      <c r="A255" t="s">
        <v>265</v>
      </c>
      <c r="B255" t="s">
        <v>1217</v>
      </c>
      <c r="C255" t="s">
        <v>1225</v>
      </c>
      <c r="D255">
        <v>4424</v>
      </c>
      <c r="E255">
        <v>4</v>
      </c>
      <c r="F255" t="s">
        <v>1296</v>
      </c>
      <c r="G255" t="s">
        <v>1584</v>
      </c>
      <c r="H255" t="s">
        <v>1592</v>
      </c>
      <c r="I255">
        <v>17696</v>
      </c>
      <c r="J255">
        <v>51</v>
      </c>
      <c r="K255" t="s">
        <v>1595</v>
      </c>
      <c r="L255" t="s">
        <v>1599</v>
      </c>
      <c r="M255" t="str">
        <f>IF(Table1[[#This Row],[Quantity]]&gt;2,"Bulk Order","Normal Order")</f>
        <v>Bulk Order</v>
      </c>
      <c r="N255" t="str">
        <f>_xlfn.CONCAT(Table1[[#This Row],[Category]],"-",Table1[[#This Row],[City]])</f>
        <v>Fitness-Chennai</v>
      </c>
      <c r="O255" t="str">
        <f>LEFT(Table1[[#This Row],[Category]],3)</f>
        <v>Fit</v>
      </c>
      <c r="P255" s="2"/>
    </row>
    <row r="256" spans="1:16" x14ac:dyDescent="0.35">
      <c r="A256" t="s">
        <v>266</v>
      </c>
      <c r="B256" t="s">
        <v>1218</v>
      </c>
      <c r="C256" t="s">
        <v>1225</v>
      </c>
      <c r="D256">
        <v>4769</v>
      </c>
      <c r="E256">
        <v>2</v>
      </c>
      <c r="F256" t="s">
        <v>1412</v>
      </c>
      <c r="G256" t="s">
        <v>1585</v>
      </c>
      <c r="H256" t="s">
        <v>1590</v>
      </c>
      <c r="I256">
        <v>9538</v>
      </c>
      <c r="J256">
        <v>78</v>
      </c>
      <c r="K256" t="s">
        <v>1595</v>
      </c>
      <c r="L256" t="s">
        <v>1599</v>
      </c>
      <c r="M256" t="str">
        <f>IF(Table1[[#This Row],[Quantity]]&gt;2,"Bulk Order","Normal Order")</f>
        <v>Normal Order</v>
      </c>
      <c r="N256" t="str">
        <f>_xlfn.CONCAT(Table1[[#This Row],[Category]],"-",Table1[[#This Row],[City]])</f>
        <v>Fitness-Kolkata</v>
      </c>
      <c r="O256" t="str">
        <f>LEFT(Table1[[#This Row],[Category]],3)</f>
        <v>Fit</v>
      </c>
      <c r="P256" s="2"/>
    </row>
    <row r="257" spans="1:16" x14ac:dyDescent="0.35">
      <c r="A257" t="s">
        <v>267</v>
      </c>
      <c r="B257" t="s">
        <v>1213</v>
      </c>
      <c r="C257" t="s">
        <v>1226</v>
      </c>
      <c r="D257">
        <v>3767</v>
      </c>
      <c r="E257">
        <v>4</v>
      </c>
      <c r="F257" t="s">
        <v>1413</v>
      </c>
      <c r="G257" t="s">
        <v>1586</v>
      </c>
      <c r="H257" t="s">
        <v>1590</v>
      </c>
      <c r="I257">
        <v>15068</v>
      </c>
      <c r="J257">
        <v>71</v>
      </c>
      <c r="K257" t="s">
        <v>1595</v>
      </c>
      <c r="L257" t="s">
        <v>1597</v>
      </c>
      <c r="M257" t="str">
        <f>IF(Table1[[#This Row],[Quantity]]&gt;2,"Bulk Order","Normal Order")</f>
        <v>Bulk Order</v>
      </c>
      <c r="N257" t="str">
        <f>_xlfn.CONCAT(Table1[[#This Row],[Category]],"-",Table1[[#This Row],[City]])</f>
        <v>Home-Hyderabad</v>
      </c>
      <c r="O257" t="str">
        <f>LEFT(Table1[[#This Row],[Category]],3)</f>
        <v>Hom</v>
      </c>
      <c r="P257" s="2"/>
    </row>
    <row r="258" spans="1:16" x14ac:dyDescent="0.35">
      <c r="A258" t="s">
        <v>268</v>
      </c>
      <c r="B258" t="s">
        <v>1221</v>
      </c>
      <c r="C258" t="s">
        <v>1225</v>
      </c>
      <c r="D258">
        <v>888</v>
      </c>
      <c r="E258">
        <v>2</v>
      </c>
      <c r="F258" t="s">
        <v>1414</v>
      </c>
      <c r="G258" t="s">
        <v>1585</v>
      </c>
      <c r="H258" t="s">
        <v>1593</v>
      </c>
      <c r="I258">
        <v>1776</v>
      </c>
      <c r="J258">
        <v>51</v>
      </c>
      <c r="K258" t="s">
        <v>1595</v>
      </c>
      <c r="L258" t="s">
        <v>1598</v>
      </c>
      <c r="M258" t="str">
        <f>IF(Table1[[#This Row],[Quantity]]&gt;2,"Bulk Order","Normal Order")</f>
        <v>Normal Order</v>
      </c>
      <c r="N258" t="str">
        <f>_xlfn.CONCAT(Table1[[#This Row],[Category]],"-",Table1[[#This Row],[City]])</f>
        <v>Fitness-Kolkata</v>
      </c>
      <c r="O258" t="str">
        <f>LEFT(Table1[[#This Row],[Category]],3)</f>
        <v>Fit</v>
      </c>
      <c r="P258" s="2"/>
    </row>
    <row r="259" spans="1:16" x14ac:dyDescent="0.35">
      <c r="A259" t="s">
        <v>269</v>
      </c>
      <c r="B259" t="s">
        <v>1217</v>
      </c>
      <c r="C259" t="s">
        <v>1225</v>
      </c>
      <c r="D259">
        <v>2203</v>
      </c>
      <c r="E259">
        <v>1</v>
      </c>
      <c r="F259" t="s">
        <v>1415</v>
      </c>
      <c r="G259" t="s">
        <v>1586</v>
      </c>
      <c r="H259" t="s">
        <v>1593</v>
      </c>
      <c r="I259">
        <v>2203</v>
      </c>
      <c r="J259">
        <v>35</v>
      </c>
      <c r="K259" t="s">
        <v>1596</v>
      </c>
      <c r="L259" t="s">
        <v>1598</v>
      </c>
      <c r="M259" t="str">
        <f>IF(Table1[[#This Row],[Quantity]]&gt;2,"Bulk Order","Normal Order")</f>
        <v>Normal Order</v>
      </c>
      <c r="N259" t="str">
        <f>_xlfn.CONCAT(Table1[[#This Row],[Category]],"-",Table1[[#This Row],[City]])</f>
        <v>Fitness-Hyderabad</v>
      </c>
      <c r="O259" t="str">
        <f>LEFT(Table1[[#This Row],[Category]],3)</f>
        <v>Fit</v>
      </c>
      <c r="P259" s="2"/>
    </row>
    <row r="260" spans="1:16" x14ac:dyDescent="0.35">
      <c r="A260" t="s">
        <v>270</v>
      </c>
      <c r="B260" t="s">
        <v>1222</v>
      </c>
      <c r="C260" t="s">
        <v>1225</v>
      </c>
      <c r="D260">
        <v>558</v>
      </c>
      <c r="E260">
        <v>1</v>
      </c>
      <c r="F260" t="s">
        <v>1338</v>
      </c>
      <c r="G260" t="s">
        <v>1587</v>
      </c>
      <c r="H260" t="s">
        <v>1593</v>
      </c>
      <c r="I260">
        <v>558</v>
      </c>
      <c r="J260">
        <v>50</v>
      </c>
      <c r="K260" t="s">
        <v>1595</v>
      </c>
      <c r="L260" t="s">
        <v>1599</v>
      </c>
      <c r="M260" t="str">
        <f>IF(Table1[[#This Row],[Quantity]]&gt;2,"Bulk Order","Normal Order")</f>
        <v>Normal Order</v>
      </c>
      <c r="N260" t="str">
        <f>_xlfn.CONCAT(Table1[[#This Row],[Category]],"-",Table1[[#This Row],[City]])</f>
        <v>Fitness-Mumbai</v>
      </c>
      <c r="O260" t="str">
        <f>LEFT(Table1[[#This Row],[Category]],3)</f>
        <v>Fit</v>
      </c>
      <c r="P260" s="2"/>
    </row>
    <row r="261" spans="1:16" x14ac:dyDescent="0.35">
      <c r="A261" t="s">
        <v>271</v>
      </c>
      <c r="B261" t="s">
        <v>1218</v>
      </c>
      <c r="C261" t="s">
        <v>1228</v>
      </c>
      <c r="D261">
        <v>173</v>
      </c>
      <c r="E261">
        <v>4</v>
      </c>
      <c r="F261" t="s">
        <v>1416</v>
      </c>
      <c r="G261" t="s">
        <v>1584</v>
      </c>
      <c r="H261" t="s">
        <v>1592</v>
      </c>
      <c r="I261">
        <v>692</v>
      </c>
      <c r="J261">
        <v>87</v>
      </c>
      <c r="K261" t="s">
        <v>1595</v>
      </c>
      <c r="L261" t="s">
        <v>1599</v>
      </c>
      <c r="M261" t="str">
        <f>IF(Table1[[#This Row],[Quantity]]&gt;2,"Bulk Order","Normal Order")</f>
        <v>Bulk Order</v>
      </c>
      <c r="N261" t="str">
        <f>_xlfn.CONCAT(Table1[[#This Row],[Category]],"-",Table1[[#This Row],[City]])</f>
        <v>Electronics-Chennai</v>
      </c>
      <c r="O261" t="str">
        <f>LEFT(Table1[[#This Row],[Category]],3)</f>
        <v>Ele</v>
      </c>
      <c r="P261" s="2"/>
    </row>
    <row r="262" spans="1:16" x14ac:dyDescent="0.35">
      <c r="A262" t="s">
        <v>272</v>
      </c>
      <c r="B262" t="s">
        <v>1215</v>
      </c>
      <c r="C262" t="s">
        <v>1226</v>
      </c>
      <c r="D262">
        <v>520</v>
      </c>
      <c r="E262">
        <v>3</v>
      </c>
      <c r="F262" t="s">
        <v>1417</v>
      </c>
      <c r="G262" t="s">
        <v>1589</v>
      </c>
      <c r="H262" t="s">
        <v>1590</v>
      </c>
      <c r="I262">
        <v>1560</v>
      </c>
      <c r="J262">
        <v>75</v>
      </c>
      <c r="K262" t="s">
        <v>1594</v>
      </c>
      <c r="L262" t="s">
        <v>1598</v>
      </c>
      <c r="M262" t="str">
        <f>IF(Table1[[#This Row],[Quantity]]&gt;2,"Bulk Order","Normal Order")</f>
        <v>Bulk Order</v>
      </c>
      <c r="N262" t="str">
        <f>_xlfn.CONCAT(Table1[[#This Row],[Category]],"-",Table1[[#This Row],[City]])</f>
        <v>Home-Bangalore</v>
      </c>
      <c r="O262" t="str">
        <f>LEFT(Table1[[#This Row],[Category]],3)</f>
        <v>Hom</v>
      </c>
      <c r="P262" s="2"/>
    </row>
    <row r="263" spans="1:16" x14ac:dyDescent="0.35">
      <c r="A263" t="s">
        <v>273</v>
      </c>
      <c r="B263" t="s">
        <v>1213</v>
      </c>
      <c r="C263" t="s">
        <v>1228</v>
      </c>
      <c r="D263">
        <v>2867</v>
      </c>
      <c r="E263">
        <v>4</v>
      </c>
      <c r="F263" t="s">
        <v>1418</v>
      </c>
      <c r="G263" t="s">
        <v>1585</v>
      </c>
      <c r="H263" t="s">
        <v>1590</v>
      </c>
      <c r="I263">
        <v>11468</v>
      </c>
      <c r="J263">
        <v>32</v>
      </c>
      <c r="K263" t="s">
        <v>1595</v>
      </c>
      <c r="L263" t="s">
        <v>1599</v>
      </c>
      <c r="M263" t="str">
        <f>IF(Table1[[#This Row],[Quantity]]&gt;2,"Bulk Order","Normal Order")</f>
        <v>Bulk Order</v>
      </c>
      <c r="N263" t="str">
        <f>_xlfn.CONCAT(Table1[[#This Row],[Category]],"-",Table1[[#This Row],[City]])</f>
        <v>Electronics-Kolkata</v>
      </c>
      <c r="O263" t="str">
        <f>LEFT(Table1[[#This Row],[Category]],3)</f>
        <v>Ele</v>
      </c>
      <c r="P263" s="2"/>
    </row>
    <row r="264" spans="1:16" x14ac:dyDescent="0.35">
      <c r="A264" t="s">
        <v>274</v>
      </c>
      <c r="B264" t="s">
        <v>1222</v>
      </c>
      <c r="C264" t="s">
        <v>1227</v>
      </c>
      <c r="D264">
        <v>1279</v>
      </c>
      <c r="E264">
        <v>3</v>
      </c>
      <c r="F264" t="s">
        <v>1419</v>
      </c>
      <c r="G264" t="s">
        <v>1586</v>
      </c>
      <c r="H264" t="s">
        <v>1590</v>
      </c>
      <c r="I264">
        <v>3837</v>
      </c>
      <c r="J264">
        <v>100</v>
      </c>
      <c r="K264" t="s">
        <v>1595</v>
      </c>
      <c r="L264" t="s">
        <v>1598</v>
      </c>
      <c r="M264" t="str">
        <f>IF(Table1[[#This Row],[Quantity]]&gt;2,"Bulk Order","Normal Order")</f>
        <v>Bulk Order</v>
      </c>
      <c r="N264" t="str">
        <f>_xlfn.CONCAT(Table1[[#This Row],[Category]],"-",Table1[[#This Row],[City]])</f>
        <v>Accessories-Hyderabad</v>
      </c>
      <c r="O264" t="str">
        <f>LEFT(Table1[[#This Row],[Category]],3)</f>
        <v>Acc</v>
      </c>
      <c r="P264" s="2"/>
    </row>
    <row r="265" spans="1:16" x14ac:dyDescent="0.35">
      <c r="A265" t="s">
        <v>275</v>
      </c>
      <c r="B265" t="s">
        <v>1216</v>
      </c>
      <c r="C265" t="s">
        <v>1228</v>
      </c>
      <c r="D265">
        <v>1350</v>
      </c>
      <c r="E265">
        <v>1</v>
      </c>
      <c r="F265" t="s">
        <v>1260</v>
      </c>
      <c r="G265" t="s">
        <v>1586</v>
      </c>
      <c r="H265" t="s">
        <v>1590</v>
      </c>
      <c r="I265">
        <v>1350</v>
      </c>
      <c r="J265">
        <v>40</v>
      </c>
      <c r="K265" t="s">
        <v>1595</v>
      </c>
      <c r="L265" t="s">
        <v>1597</v>
      </c>
      <c r="M265" t="str">
        <f>IF(Table1[[#This Row],[Quantity]]&gt;2,"Bulk Order","Normal Order")</f>
        <v>Normal Order</v>
      </c>
      <c r="N265" t="str">
        <f>_xlfn.CONCAT(Table1[[#This Row],[Category]],"-",Table1[[#This Row],[City]])</f>
        <v>Electronics-Hyderabad</v>
      </c>
      <c r="O265" t="str">
        <f>LEFT(Table1[[#This Row],[Category]],3)</f>
        <v>Ele</v>
      </c>
      <c r="P265" s="2"/>
    </row>
    <row r="266" spans="1:16" x14ac:dyDescent="0.35">
      <c r="A266" t="s">
        <v>276</v>
      </c>
      <c r="B266" t="s">
        <v>1212</v>
      </c>
      <c r="C266" t="s">
        <v>1227</v>
      </c>
      <c r="D266">
        <v>4431</v>
      </c>
      <c r="E266">
        <v>3</v>
      </c>
      <c r="F266" t="s">
        <v>1420</v>
      </c>
      <c r="G266" t="s">
        <v>1585</v>
      </c>
      <c r="H266" t="s">
        <v>1590</v>
      </c>
      <c r="I266">
        <v>13293</v>
      </c>
      <c r="J266">
        <v>40</v>
      </c>
      <c r="K266" t="s">
        <v>1595</v>
      </c>
      <c r="L266" t="s">
        <v>1599</v>
      </c>
      <c r="M266" t="str">
        <f>IF(Table1[[#This Row],[Quantity]]&gt;2,"Bulk Order","Normal Order")</f>
        <v>Bulk Order</v>
      </c>
      <c r="N266" t="str">
        <f>_xlfn.CONCAT(Table1[[#This Row],[Category]],"-",Table1[[#This Row],[City]])</f>
        <v>Accessories-Kolkata</v>
      </c>
      <c r="O266" t="str">
        <f>LEFT(Table1[[#This Row],[Category]],3)</f>
        <v>Acc</v>
      </c>
      <c r="P266" s="2"/>
    </row>
    <row r="267" spans="1:16" x14ac:dyDescent="0.35">
      <c r="A267" t="s">
        <v>277</v>
      </c>
      <c r="B267" t="s">
        <v>1218</v>
      </c>
      <c r="C267" t="s">
        <v>1228</v>
      </c>
      <c r="D267">
        <v>2213</v>
      </c>
      <c r="E267">
        <v>1</v>
      </c>
      <c r="F267" t="s">
        <v>1421</v>
      </c>
      <c r="G267" t="s">
        <v>1586</v>
      </c>
      <c r="H267" t="s">
        <v>1592</v>
      </c>
      <c r="I267">
        <v>2213</v>
      </c>
      <c r="J267">
        <v>37</v>
      </c>
      <c r="K267" t="s">
        <v>1595</v>
      </c>
      <c r="L267" t="s">
        <v>1599</v>
      </c>
      <c r="M267" t="str">
        <f>IF(Table1[[#This Row],[Quantity]]&gt;2,"Bulk Order","Normal Order")</f>
        <v>Normal Order</v>
      </c>
      <c r="N267" t="str">
        <f>_xlfn.CONCAT(Table1[[#This Row],[Category]],"-",Table1[[#This Row],[City]])</f>
        <v>Electronics-Hyderabad</v>
      </c>
      <c r="O267" t="str">
        <f>LEFT(Table1[[#This Row],[Category]],3)</f>
        <v>Ele</v>
      </c>
      <c r="P267" s="2"/>
    </row>
    <row r="268" spans="1:16" x14ac:dyDescent="0.35">
      <c r="A268" t="s">
        <v>278</v>
      </c>
      <c r="B268" t="s">
        <v>1212</v>
      </c>
      <c r="C268" t="s">
        <v>1225</v>
      </c>
      <c r="D268">
        <v>4398</v>
      </c>
      <c r="E268">
        <v>2</v>
      </c>
      <c r="F268" t="s">
        <v>1309</v>
      </c>
      <c r="G268" t="s">
        <v>1586</v>
      </c>
      <c r="H268" t="s">
        <v>1592</v>
      </c>
      <c r="I268">
        <v>8796</v>
      </c>
      <c r="J268">
        <v>79</v>
      </c>
      <c r="K268" t="s">
        <v>1595</v>
      </c>
      <c r="L268" t="s">
        <v>1598</v>
      </c>
      <c r="M268" t="str">
        <f>IF(Table1[[#This Row],[Quantity]]&gt;2,"Bulk Order","Normal Order")</f>
        <v>Normal Order</v>
      </c>
      <c r="N268" t="str">
        <f>_xlfn.CONCAT(Table1[[#This Row],[Category]],"-",Table1[[#This Row],[City]])</f>
        <v>Fitness-Hyderabad</v>
      </c>
      <c r="O268" t="str">
        <f>LEFT(Table1[[#This Row],[Category]],3)</f>
        <v>Fit</v>
      </c>
      <c r="P268" s="2"/>
    </row>
    <row r="269" spans="1:16" x14ac:dyDescent="0.35">
      <c r="A269" t="s">
        <v>279</v>
      </c>
      <c r="B269" t="s">
        <v>1220</v>
      </c>
      <c r="C269" t="s">
        <v>1228</v>
      </c>
      <c r="D269">
        <v>2163</v>
      </c>
      <c r="E269">
        <v>2</v>
      </c>
      <c r="F269" t="s">
        <v>1422</v>
      </c>
      <c r="G269" t="s">
        <v>1584</v>
      </c>
      <c r="H269" t="s">
        <v>1593</v>
      </c>
      <c r="I269">
        <v>4326</v>
      </c>
      <c r="J269">
        <v>51</v>
      </c>
      <c r="K269" t="s">
        <v>1595</v>
      </c>
      <c r="L269" t="s">
        <v>1598</v>
      </c>
      <c r="M269" t="str">
        <f>IF(Table1[[#This Row],[Quantity]]&gt;2,"Bulk Order","Normal Order")</f>
        <v>Normal Order</v>
      </c>
      <c r="N269" t="str">
        <f>_xlfn.CONCAT(Table1[[#This Row],[Category]],"-",Table1[[#This Row],[City]])</f>
        <v>Electronics-Chennai</v>
      </c>
      <c r="O269" t="str">
        <f>LEFT(Table1[[#This Row],[Category]],3)</f>
        <v>Ele</v>
      </c>
      <c r="P269" s="2"/>
    </row>
    <row r="270" spans="1:16" x14ac:dyDescent="0.35">
      <c r="A270" t="s">
        <v>280</v>
      </c>
      <c r="B270" t="s">
        <v>1217</v>
      </c>
      <c r="C270" t="s">
        <v>1224</v>
      </c>
      <c r="D270">
        <v>476</v>
      </c>
      <c r="E270">
        <v>2</v>
      </c>
      <c r="F270" t="s">
        <v>1405</v>
      </c>
      <c r="G270" t="s">
        <v>1584</v>
      </c>
      <c r="H270" t="s">
        <v>1590</v>
      </c>
      <c r="I270">
        <v>952</v>
      </c>
      <c r="J270">
        <v>53</v>
      </c>
      <c r="K270" t="s">
        <v>1594</v>
      </c>
      <c r="L270" t="s">
        <v>1598</v>
      </c>
      <c r="M270" t="str">
        <f>IF(Table1[[#This Row],[Quantity]]&gt;2,"Bulk Order","Normal Order")</f>
        <v>Normal Order</v>
      </c>
      <c r="N270" t="str">
        <f>_xlfn.CONCAT(Table1[[#This Row],[Category]],"-",Table1[[#This Row],[City]])</f>
        <v>Lifestyle-Chennai</v>
      </c>
      <c r="O270" t="str">
        <f>LEFT(Table1[[#This Row],[Category]],3)</f>
        <v>Lif</v>
      </c>
      <c r="P270" s="2"/>
    </row>
    <row r="271" spans="1:16" x14ac:dyDescent="0.35">
      <c r="A271" t="s">
        <v>281</v>
      </c>
      <c r="B271" t="s">
        <v>1214</v>
      </c>
      <c r="C271" t="s">
        <v>1226</v>
      </c>
      <c r="D271">
        <v>379</v>
      </c>
      <c r="E271">
        <v>1</v>
      </c>
      <c r="F271" t="s">
        <v>1423</v>
      </c>
      <c r="G271" t="s">
        <v>1584</v>
      </c>
      <c r="H271" t="s">
        <v>1592</v>
      </c>
      <c r="I271">
        <v>379</v>
      </c>
      <c r="J271">
        <v>62</v>
      </c>
      <c r="K271" t="s">
        <v>1595</v>
      </c>
      <c r="L271" t="s">
        <v>1598</v>
      </c>
      <c r="M271" t="str">
        <f>IF(Table1[[#This Row],[Quantity]]&gt;2,"Bulk Order","Normal Order")</f>
        <v>Normal Order</v>
      </c>
      <c r="N271" t="str">
        <f>_xlfn.CONCAT(Table1[[#This Row],[Category]],"-",Table1[[#This Row],[City]])</f>
        <v>Home-Chennai</v>
      </c>
      <c r="O271" t="str">
        <f>LEFT(Table1[[#This Row],[Category]],3)</f>
        <v>Hom</v>
      </c>
      <c r="P271" s="2"/>
    </row>
    <row r="272" spans="1:16" x14ac:dyDescent="0.35">
      <c r="A272" t="s">
        <v>282</v>
      </c>
      <c r="B272" t="s">
        <v>1215</v>
      </c>
      <c r="C272" t="s">
        <v>1225</v>
      </c>
      <c r="D272">
        <v>4353</v>
      </c>
      <c r="E272">
        <v>1</v>
      </c>
      <c r="F272" t="s">
        <v>1424</v>
      </c>
      <c r="G272" t="s">
        <v>1584</v>
      </c>
      <c r="H272" t="s">
        <v>1592</v>
      </c>
      <c r="I272">
        <v>4353</v>
      </c>
      <c r="J272">
        <v>97</v>
      </c>
      <c r="K272" t="s">
        <v>1595</v>
      </c>
      <c r="L272" t="s">
        <v>1598</v>
      </c>
      <c r="M272" t="str">
        <f>IF(Table1[[#This Row],[Quantity]]&gt;2,"Bulk Order","Normal Order")</f>
        <v>Normal Order</v>
      </c>
      <c r="N272" t="str">
        <f>_xlfn.CONCAT(Table1[[#This Row],[Category]],"-",Table1[[#This Row],[City]])</f>
        <v>Fitness-Chennai</v>
      </c>
      <c r="O272" t="str">
        <f>LEFT(Table1[[#This Row],[Category]],3)</f>
        <v>Fit</v>
      </c>
      <c r="P272" s="2"/>
    </row>
    <row r="273" spans="1:16" x14ac:dyDescent="0.35">
      <c r="A273" t="s">
        <v>283</v>
      </c>
      <c r="B273" t="s">
        <v>1222</v>
      </c>
      <c r="C273" t="s">
        <v>1228</v>
      </c>
      <c r="D273">
        <v>2904</v>
      </c>
      <c r="E273">
        <v>2</v>
      </c>
      <c r="F273" t="s">
        <v>1425</v>
      </c>
      <c r="G273" t="s">
        <v>1588</v>
      </c>
      <c r="H273" t="s">
        <v>1591</v>
      </c>
      <c r="I273">
        <v>5808</v>
      </c>
      <c r="J273">
        <v>32</v>
      </c>
      <c r="K273" t="s">
        <v>1594</v>
      </c>
      <c r="L273" t="s">
        <v>1599</v>
      </c>
      <c r="M273" t="str">
        <f>IF(Table1[[#This Row],[Quantity]]&gt;2,"Bulk Order","Normal Order")</f>
        <v>Normal Order</v>
      </c>
      <c r="N273" t="str">
        <f>_xlfn.CONCAT(Table1[[#This Row],[Category]],"-",Table1[[#This Row],[City]])</f>
        <v>Electronics-Delhi</v>
      </c>
      <c r="O273" t="str">
        <f>LEFT(Table1[[#This Row],[Category]],3)</f>
        <v>Ele</v>
      </c>
      <c r="P273" s="2"/>
    </row>
    <row r="274" spans="1:16" x14ac:dyDescent="0.35">
      <c r="A274" t="s">
        <v>284</v>
      </c>
      <c r="B274" t="s">
        <v>1218</v>
      </c>
      <c r="C274" t="s">
        <v>1226</v>
      </c>
      <c r="D274">
        <v>2567</v>
      </c>
      <c r="E274">
        <v>4</v>
      </c>
      <c r="F274" t="s">
        <v>1345</v>
      </c>
      <c r="G274" t="s">
        <v>1585</v>
      </c>
      <c r="H274" t="s">
        <v>1590</v>
      </c>
      <c r="I274">
        <v>10268</v>
      </c>
      <c r="J274">
        <v>40</v>
      </c>
      <c r="K274" t="s">
        <v>1596</v>
      </c>
      <c r="L274" t="s">
        <v>1599</v>
      </c>
      <c r="M274" t="str">
        <f>IF(Table1[[#This Row],[Quantity]]&gt;2,"Bulk Order","Normal Order")</f>
        <v>Bulk Order</v>
      </c>
      <c r="N274" t="str">
        <f>_xlfn.CONCAT(Table1[[#This Row],[Category]],"-",Table1[[#This Row],[City]])</f>
        <v>Home-Kolkata</v>
      </c>
      <c r="O274" t="str">
        <f>LEFT(Table1[[#This Row],[Category]],3)</f>
        <v>Hom</v>
      </c>
      <c r="P274" s="2"/>
    </row>
    <row r="275" spans="1:16" x14ac:dyDescent="0.35">
      <c r="A275" t="s">
        <v>285</v>
      </c>
      <c r="B275" t="s">
        <v>1216</v>
      </c>
      <c r="C275" t="s">
        <v>1226</v>
      </c>
      <c r="D275">
        <v>1724</v>
      </c>
      <c r="E275">
        <v>1</v>
      </c>
      <c r="F275" t="s">
        <v>1407</v>
      </c>
      <c r="G275" t="s">
        <v>1584</v>
      </c>
      <c r="H275" t="s">
        <v>1593</v>
      </c>
      <c r="I275">
        <v>1724</v>
      </c>
      <c r="J275">
        <v>33</v>
      </c>
      <c r="K275" t="s">
        <v>1595</v>
      </c>
      <c r="L275" t="s">
        <v>1597</v>
      </c>
      <c r="M275" t="str">
        <f>IF(Table1[[#This Row],[Quantity]]&gt;2,"Bulk Order","Normal Order")</f>
        <v>Normal Order</v>
      </c>
      <c r="N275" t="str">
        <f>_xlfn.CONCAT(Table1[[#This Row],[Category]],"-",Table1[[#This Row],[City]])</f>
        <v>Home-Chennai</v>
      </c>
      <c r="O275" t="str">
        <f>LEFT(Table1[[#This Row],[Category]],3)</f>
        <v>Hom</v>
      </c>
      <c r="P275" s="2"/>
    </row>
    <row r="276" spans="1:16" x14ac:dyDescent="0.35">
      <c r="A276" t="s">
        <v>286</v>
      </c>
      <c r="B276" t="s">
        <v>1221</v>
      </c>
      <c r="C276" t="s">
        <v>1225</v>
      </c>
      <c r="D276">
        <v>4510</v>
      </c>
      <c r="E276">
        <v>1</v>
      </c>
      <c r="F276" t="s">
        <v>1426</v>
      </c>
      <c r="G276" t="s">
        <v>1585</v>
      </c>
      <c r="H276" t="s">
        <v>1591</v>
      </c>
      <c r="I276">
        <v>4510</v>
      </c>
      <c r="J276">
        <v>50</v>
      </c>
      <c r="K276" t="s">
        <v>1595</v>
      </c>
      <c r="L276" t="s">
        <v>1598</v>
      </c>
      <c r="M276" t="str">
        <f>IF(Table1[[#This Row],[Quantity]]&gt;2,"Bulk Order","Normal Order")</f>
        <v>Normal Order</v>
      </c>
      <c r="N276" t="str">
        <f>_xlfn.CONCAT(Table1[[#This Row],[Category]],"-",Table1[[#This Row],[City]])</f>
        <v>Fitness-Kolkata</v>
      </c>
      <c r="O276" t="str">
        <f>LEFT(Table1[[#This Row],[Category]],3)</f>
        <v>Fit</v>
      </c>
      <c r="P276" s="2"/>
    </row>
    <row r="277" spans="1:16" x14ac:dyDescent="0.35">
      <c r="A277" t="s">
        <v>287</v>
      </c>
      <c r="B277" t="s">
        <v>1215</v>
      </c>
      <c r="C277" t="s">
        <v>1225</v>
      </c>
      <c r="D277">
        <v>1715</v>
      </c>
      <c r="E277">
        <v>1</v>
      </c>
      <c r="F277" t="s">
        <v>1355</v>
      </c>
      <c r="G277" t="s">
        <v>1587</v>
      </c>
      <c r="H277" t="s">
        <v>1590</v>
      </c>
      <c r="I277">
        <v>1715</v>
      </c>
      <c r="J277">
        <v>78</v>
      </c>
      <c r="K277" t="s">
        <v>1595</v>
      </c>
      <c r="L277" t="s">
        <v>1597</v>
      </c>
      <c r="M277" t="str">
        <f>IF(Table1[[#This Row],[Quantity]]&gt;2,"Bulk Order","Normal Order")</f>
        <v>Normal Order</v>
      </c>
      <c r="N277" t="str">
        <f>_xlfn.CONCAT(Table1[[#This Row],[Category]],"-",Table1[[#This Row],[City]])</f>
        <v>Fitness-Mumbai</v>
      </c>
      <c r="O277" t="str">
        <f>LEFT(Table1[[#This Row],[Category]],3)</f>
        <v>Fit</v>
      </c>
      <c r="P277" s="2"/>
    </row>
    <row r="278" spans="1:16" x14ac:dyDescent="0.35">
      <c r="A278" t="s">
        <v>288</v>
      </c>
      <c r="B278" t="s">
        <v>1223</v>
      </c>
      <c r="C278" t="s">
        <v>1227</v>
      </c>
      <c r="D278">
        <v>1444</v>
      </c>
      <c r="E278">
        <v>4</v>
      </c>
      <c r="F278" t="s">
        <v>1427</v>
      </c>
      <c r="G278" t="s">
        <v>1585</v>
      </c>
      <c r="H278" t="s">
        <v>1592</v>
      </c>
      <c r="I278">
        <v>5776</v>
      </c>
      <c r="J278">
        <v>51</v>
      </c>
      <c r="K278" t="s">
        <v>1595</v>
      </c>
      <c r="L278" t="s">
        <v>1598</v>
      </c>
      <c r="M278" t="str">
        <f>IF(Table1[[#This Row],[Quantity]]&gt;2,"Bulk Order","Normal Order")</f>
        <v>Bulk Order</v>
      </c>
      <c r="N278" t="str">
        <f>_xlfn.CONCAT(Table1[[#This Row],[Category]],"-",Table1[[#This Row],[City]])</f>
        <v>Accessories-Kolkata</v>
      </c>
      <c r="O278" t="str">
        <f>LEFT(Table1[[#This Row],[Category]],3)</f>
        <v>Acc</v>
      </c>
      <c r="P278" s="2"/>
    </row>
    <row r="279" spans="1:16" x14ac:dyDescent="0.35">
      <c r="A279" t="s">
        <v>289</v>
      </c>
      <c r="B279" t="s">
        <v>1216</v>
      </c>
      <c r="C279" t="s">
        <v>1226</v>
      </c>
      <c r="D279">
        <v>2914</v>
      </c>
      <c r="E279">
        <v>1</v>
      </c>
      <c r="F279" t="s">
        <v>1428</v>
      </c>
      <c r="G279" t="s">
        <v>1586</v>
      </c>
      <c r="H279" t="s">
        <v>1590</v>
      </c>
      <c r="I279">
        <v>2914</v>
      </c>
      <c r="J279">
        <v>40</v>
      </c>
      <c r="K279" t="s">
        <v>1595</v>
      </c>
      <c r="L279" t="s">
        <v>1598</v>
      </c>
      <c r="M279" t="str">
        <f>IF(Table1[[#This Row],[Quantity]]&gt;2,"Bulk Order","Normal Order")</f>
        <v>Normal Order</v>
      </c>
      <c r="N279" t="str">
        <f>_xlfn.CONCAT(Table1[[#This Row],[Category]],"-",Table1[[#This Row],[City]])</f>
        <v>Home-Hyderabad</v>
      </c>
      <c r="O279" t="str">
        <f>LEFT(Table1[[#This Row],[Category]],3)</f>
        <v>Hom</v>
      </c>
      <c r="P279" s="2"/>
    </row>
    <row r="280" spans="1:16" x14ac:dyDescent="0.35">
      <c r="A280" t="s">
        <v>290</v>
      </c>
      <c r="B280" t="s">
        <v>1212</v>
      </c>
      <c r="C280" t="s">
        <v>1225</v>
      </c>
      <c r="D280">
        <v>4685</v>
      </c>
      <c r="E280">
        <v>3</v>
      </c>
      <c r="F280" t="s">
        <v>1429</v>
      </c>
      <c r="G280" t="s">
        <v>1587</v>
      </c>
      <c r="H280" t="s">
        <v>1591</v>
      </c>
      <c r="I280">
        <v>14055</v>
      </c>
      <c r="J280">
        <v>40</v>
      </c>
      <c r="K280" t="s">
        <v>1595</v>
      </c>
      <c r="L280" t="s">
        <v>1599</v>
      </c>
      <c r="M280" t="str">
        <f>IF(Table1[[#This Row],[Quantity]]&gt;2,"Bulk Order","Normal Order")</f>
        <v>Bulk Order</v>
      </c>
      <c r="N280" t="str">
        <f>_xlfn.CONCAT(Table1[[#This Row],[Category]],"-",Table1[[#This Row],[City]])</f>
        <v>Fitness-Mumbai</v>
      </c>
      <c r="O280" t="str">
        <f>LEFT(Table1[[#This Row],[Category]],3)</f>
        <v>Fit</v>
      </c>
      <c r="P280" s="2"/>
    </row>
    <row r="281" spans="1:16" x14ac:dyDescent="0.35">
      <c r="A281" t="s">
        <v>291</v>
      </c>
      <c r="B281" t="s">
        <v>1221</v>
      </c>
      <c r="C281" t="s">
        <v>1226</v>
      </c>
      <c r="D281">
        <v>1583</v>
      </c>
      <c r="E281">
        <v>2</v>
      </c>
      <c r="F281" t="s">
        <v>1392</v>
      </c>
      <c r="G281" t="s">
        <v>1588</v>
      </c>
      <c r="H281" t="s">
        <v>1590</v>
      </c>
      <c r="I281">
        <v>3166</v>
      </c>
      <c r="J281">
        <v>35</v>
      </c>
      <c r="K281" t="s">
        <v>1595</v>
      </c>
      <c r="L281" t="s">
        <v>1597</v>
      </c>
      <c r="M281" t="str">
        <f>IF(Table1[[#This Row],[Quantity]]&gt;2,"Bulk Order","Normal Order")</f>
        <v>Normal Order</v>
      </c>
      <c r="N281" t="str">
        <f>_xlfn.CONCAT(Table1[[#This Row],[Category]],"-",Table1[[#This Row],[City]])</f>
        <v>Home-Delhi</v>
      </c>
      <c r="O281" t="str">
        <f>LEFT(Table1[[#This Row],[Category]],3)</f>
        <v>Hom</v>
      </c>
      <c r="P281" s="2"/>
    </row>
    <row r="282" spans="1:16" x14ac:dyDescent="0.35">
      <c r="A282" t="s">
        <v>292</v>
      </c>
      <c r="B282" t="s">
        <v>1222</v>
      </c>
      <c r="C282" t="s">
        <v>1225</v>
      </c>
      <c r="D282">
        <v>2372</v>
      </c>
      <c r="E282">
        <v>2</v>
      </c>
      <c r="F282" t="s">
        <v>1430</v>
      </c>
      <c r="G282" t="s">
        <v>1586</v>
      </c>
      <c r="H282" t="s">
        <v>1591</v>
      </c>
      <c r="I282">
        <v>4744</v>
      </c>
      <c r="J282">
        <v>69</v>
      </c>
      <c r="K282" t="s">
        <v>1594</v>
      </c>
      <c r="L282" t="s">
        <v>1599</v>
      </c>
      <c r="M282" t="str">
        <f>IF(Table1[[#This Row],[Quantity]]&gt;2,"Bulk Order","Normal Order")</f>
        <v>Normal Order</v>
      </c>
      <c r="N282" t="str">
        <f>_xlfn.CONCAT(Table1[[#This Row],[Category]],"-",Table1[[#This Row],[City]])</f>
        <v>Fitness-Hyderabad</v>
      </c>
      <c r="O282" t="str">
        <f>LEFT(Table1[[#This Row],[Category]],3)</f>
        <v>Fit</v>
      </c>
      <c r="P282" s="2"/>
    </row>
    <row r="283" spans="1:16" x14ac:dyDescent="0.35">
      <c r="A283" t="s">
        <v>293</v>
      </c>
      <c r="B283" t="s">
        <v>1220</v>
      </c>
      <c r="C283" t="s">
        <v>1224</v>
      </c>
      <c r="D283">
        <v>383</v>
      </c>
      <c r="E283">
        <v>2</v>
      </c>
      <c r="F283" t="s">
        <v>1431</v>
      </c>
      <c r="G283" t="s">
        <v>1584</v>
      </c>
      <c r="H283" t="s">
        <v>1593</v>
      </c>
      <c r="I283">
        <v>766</v>
      </c>
      <c r="J283">
        <v>56</v>
      </c>
      <c r="K283" t="s">
        <v>1595</v>
      </c>
      <c r="L283" t="s">
        <v>1599</v>
      </c>
      <c r="M283" t="str">
        <f>IF(Table1[[#This Row],[Quantity]]&gt;2,"Bulk Order","Normal Order")</f>
        <v>Normal Order</v>
      </c>
      <c r="N283" t="str">
        <f>_xlfn.CONCAT(Table1[[#This Row],[Category]],"-",Table1[[#This Row],[City]])</f>
        <v>Lifestyle-Chennai</v>
      </c>
      <c r="O283" t="str">
        <f>LEFT(Table1[[#This Row],[Category]],3)</f>
        <v>Lif</v>
      </c>
      <c r="P283" s="2"/>
    </row>
    <row r="284" spans="1:16" x14ac:dyDescent="0.35">
      <c r="A284" t="s">
        <v>294</v>
      </c>
      <c r="B284" t="s">
        <v>1214</v>
      </c>
      <c r="C284" t="s">
        <v>1226</v>
      </c>
      <c r="D284">
        <v>3045</v>
      </c>
      <c r="E284">
        <v>3</v>
      </c>
      <c r="F284" t="s">
        <v>1432</v>
      </c>
      <c r="G284" t="s">
        <v>1587</v>
      </c>
      <c r="H284" t="s">
        <v>1591</v>
      </c>
      <c r="I284">
        <v>9135</v>
      </c>
      <c r="J284">
        <v>29</v>
      </c>
      <c r="K284" t="s">
        <v>1594</v>
      </c>
      <c r="L284" t="s">
        <v>1599</v>
      </c>
      <c r="M284" t="str">
        <f>IF(Table1[[#This Row],[Quantity]]&gt;2,"Bulk Order","Normal Order")</f>
        <v>Bulk Order</v>
      </c>
      <c r="N284" t="str">
        <f>_xlfn.CONCAT(Table1[[#This Row],[Category]],"-",Table1[[#This Row],[City]])</f>
        <v>Home-Mumbai</v>
      </c>
      <c r="O284" t="str">
        <f>LEFT(Table1[[#This Row],[Category]],3)</f>
        <v>Hom</v>
      </c>
      <c r="P284" s="2"/>
    </row>
    <row r="285" spans="1:16" x14ac:dyDescent="0.35">
      <c r="A285" t="s">
        <v>295</v>
      </c>
      <c r="B285" t="s">
        <v>1223</v>
      </c>
      <c r="C285" t="s">
        <v>1227</v>
      </c>
      <c r="D285">
        <v>2628</v>
      </c>
      <c r="E285">
        <v>2</v>
      </c>
      <c r="F285" t="s">
        <v>1433</v>
      </c>
      <c r="G285" t="s">
        <v>1587</v>
      </c>
      <c r="H285" t="s">
        <v>1590</v>
      </c>
      <c r="I285">
        <v>5256</v>
      </c>
      <c r="J285">
        <v>72</v>
      </c>
      <c r="K285" t="s">
        <v>1594</v>
      </c>
      <c r="L285" t="s">
        <v>1599</v>
      </c>
      <c r="M285" t="str">
        <f>IF(Table1[[#This Row],[Quantity]]&gt;2,"Bulk Order","Normal Order")</f>
        <v>Normal Order</v>
      </c>
      <c r="N285" t="str">
        <f>_xlfn.CONCAT(Table1[[#This Row],[Category]],"-",Table1[[#This Row],[City]])</f>
        <v>Accessories-Mumbai</v>
      </c>
      <c r="O285" t="str">
        <f>LEFT(Table1[[#This Row],[Category]],3)</f>
        <v>Acc</v>
      </c>
      <c r="P285" s="2"/>
    </row>
    <row r="286" spans="1:16" x14ac:dyDescent="0.35">
      <c r="A286" t="s">
        <v>296</v>
      </c>
      <c r="B286" t="s">
        <v>1220</v>
      </c>
      <c r="C286" t="s">
        <v>1226</v>
      </c>
      <c r="D286">
        <v>206</v>
      </c>
      <c r="E286">
        <v>2</v>
      </c>
      <c r="F286" t="s">
        <v>1301</v>
      </c>
      <c r="G286" t="s">
        <v>1588</v>
      </c>
      <c r="H286" t="s">
        <v>1591</v>
      </c>
      <c r="I286">
        <v>412</v>
      </c>
      <c r="J286">
        <v>21</v>
      </c>
      <c r="K286" t="s">
        <v>1594</v>
      </c>
      <c r="L286" t="s">
        <v>1599</v>
      </c>
      <c r="M286" t="str">
        <f>IF(Table1[[#This Row],[Quantity]]&gt;2,"Bulk Order","Normal Order")</f>
        <v>Normal Order</v>
      </c>
      <c r="N286" t="str">
        <f>_xlfn.CONCAT(Table1[[#This Row],[Category]],"-",Table1[[#This Row],[City]])</f>
        <v>Home-Delhi</v>
      </c>
      <c r="O286" t="str">
        <f>LEFT(Table1[[#This Row],[Category]],3)</f>
        <v>Hom</v>
      </c>
      <c r="P286" s="2"/>
    </row>
    <row r="287" spans="1:16" x14ac:dyDescent="0.35">
      <c r="A287" t="s">
        <v>297</v>
      </c>
      <c r="B287" t="s">
        <v>1217</v>
      </c>
      <c r="C287" t="s">
        <v>1224</v>
      </c>
      <c r="D287">
        <v>2170</v>
      </c>
      <c r="E287">
        <v>2</v>
      </c>
      <c r="F287" t="s">
        <v>1434</v>
      </c>
      <c r="G287" t="s">
        <v>1589</v>
      </c>
      <c r="H287" t="s">
        <v>1591</v>
      </c>
      <c r="I287">
        <v>4340</v>
      </c>
      <c r="J287">
        <v>55</v>
      </c>
      <c r="K287" t="s">
        <v>1595</v>
      </c>
      <c r="L287" t="s">
        <v>1598</v>
      </c>
      <c r="M287" t="str">
        <f>IF(Table1[[#This Row],[Quantity]]&gt;2,"Bulk Order","Normal Order")</f>
        <v>Normal Order</v>
      </c>
      <c r="N287" t="str">
        <f>_xlfn.CONCAT(Table1[[#This Row],[Category]],"-",Table1[[#This Row],[City]])</f>
        <v>Lifestyle-Bangalore</v>
      </c>
      <c r="O287" t="str">
        <f>LEFT(Table1[[#This Row],[Category]],3)</f>
        <v>Lif</v>
      </c>
      <c r="P287" s="2"/>
    </row>
    <row r="288" spans="1:16" x14ac:dyDescent="0.35">
      <c r="A288" t="s">
        <v>298</v>
      </c>
      <c r="B288" t="s">
        <v>1217</v>
      </c>
      <c r="C288" t="s">
        <v>1226</v>
      </c>
      <c r="D288">
        <v>1808</v>
      </c>
      <c r="E288">
        <v>2</v>
      </c>
      <c r="F288" t="s">
        <v>1363</v>
      </c>
      <c r="G288" t="s">
        <v>1586</v>
      </c>
      <c r="H288" t="s">
        <v>1590</v>
      </c>
      <c r="I288">
        <v>3616</v>
      </c>
      <c r="J288">
        <v>80</v>
      </c>
      <c r="K288" t="s">
        <v>1596</v>
      </c>
      <c r="L288" t="s">
        <v>1599</v>
      </c>
      <c r="M288" t="str">
        <f>IF(Table1[[#This Row],[Quantity]]&gt;2,"Bulk Order","Normal Order")</f>
        <v>Normal Order</v>
      </c>
      <c r="N288" t="str">
        <f>_xlfn.CONCAT(Table1[[#This Row],[Category]],"-",Table1[[#This Row],[City]])</f>
        <v>Home-Hyderabad</v>
      </c>
      <c r="O288" t="str">
        <f>LEFT(Table1[[#This Row],[Category]],3)</f>
        <v>Hom</v>
      </c>
      <c r="P288" s="2"/>
    </row>
    <row r="289" spans="1:16" x14ac:dyDescent="0.35">
      <c r="A289" t="s">
        <v>299</v>
      </c>
      <c r="B289" t="s">
        <v>1217</v>
      </c>
      <c r="C289" t="s">
        <v>1225</v>
      </c>
      <c r="D289">
        <v>4194</v>
      </c>
      <c r="E289">
        <v>1</v>
      </c>
      <c r="F289" t="s">
        <v>1435</v>
      </c>
      <c r="G289" t="s">
        <v>1587</v>
      </c>
      <c r="H289" t="s">
        <v>1591</v>
      </c>
      <c r="I289">
        <v>4194</v>
      </c>
      <c r="J289">
        <v>35</v>
      </c>
      <c r="K289" t="s">
        <v>1594</v>
      </c>
      <c r="L289" t="s">
        <v>1598</v>
      </c>
      <c r="M289" t="str">
        <f>IF(Table1[[#This Row],[Quantity]]&gt;2,"Bulk Order","Normal Order")</f>
        <v>Normal Order</v>
      </c>
      <c r="N289" t="str">
        <f>_xlfn.CONCAT(Table1[[#This Row],[Category]],"-",Table1[[#This Row],[City]])</f>
        <v>Fitness-Mumbai</v>
      </c>
      <c r="O289" t="str">
        <f>LEFT(Table1[[#This Row],[Category]],3)</f>
        <v>Fit</v>
      </c>
      <c r="P289" s="2"/>
    </row>
    <row r="290" spans="1:16" x14ac:dyDescent="0.35">
      <c r="A290" t="s">
        <v>300</v>
      </c>
      <c r="B290" t="s">
        <v>1222</v>
      </c>
      <c r="C290" t="s">
        <v>1225</v>
      </c>
      <c r="D290">
        <v>4096</v>
      </c>
      <c r="E290">
        <v>2</v>
      </c>
      <c r="F290" t="s">
        <v>1398</v>
      </c>
      <c r="G290" t="s">
        <v>1586</v>
      </c>
      <c r="H290" t="s">
        <v>1593</v>
      </c>
      <c r="I290">
        <v>8192</v>
      </c>
      <c r="J290">
        <v>69</v>
      </c>
      <c r="K290" t="s">
        <v>1595</v>
      </c>
      <c r="L290" t="s">
        <v>1598</v>
      </c>
      <c r="M290" t="str">
        <f>IF(Table1[[#This Row],[Quantity]]&gt;2,"Bulk Order","Normal Order")</f>
        <v>Normal Order</v>
      </c>
      <c r="N290" t="str">
        <f>_xlfn.CONCAT(Table1[[#This Row],[Category]],"-",Table1[[#This Row],[City]])</f>
        <v>Fitness-Hyderabad</v>
      </c>
      <c r="O290" t="str">
        <f>LEFT(Table1[[#This Row],[Category]],3)</f>
        <v>Fit</v>
      </c>
      <c r="P290" s="2"/>
    </row>
    <row r="291" spans="1:16" x14ac:dyDescent="0.35">
      <c r="A291" t="s">
        <v>301</v>
      </c>
      <c r="B291" t="s">
        <v>1212</v>
      </c>
      <c r="C291" t="s">
        <v>1228</v>
      </c>
      <c r="D291">
        <v>941</v>
      </c>
      <c r="E291">
        <v>1</v>
      </c>
      <c r="F291" t="s">
        <v>1231</v>
      </c>
      <c r="G291" t="s">
        <v>1588</v>
      </c>
      <c r="H291" t="s">
        <v>1590</v>
      </c>
      <c r="I291">
        <v>941</v>
      </c>
      <c r="J291">
        <v>65</v>
      </c>
      <c r="K291" t="s">
        <v>1595</v>
      </c>
      <c r="L291" t="s">
        <v>1598</v>
      </c>
      <c r="M291" t="str">
        <f>IF(Table1[[#This Row],[Quantity]]&gt;2,"Bulk Order","Normal Order")</f>
        <v>Normal Order</v>
      </c>
      <c r="N291" t="str">
        <f>_xlfn.CONCAT(Table1[[#This Row],[Category]],"-",Table1[[#This Row],[City]])</f>
        <v>Electronics-Delhi</v>
      </c>
      <c r="O291" t="str">
        <f>LEFT(Table1[[#This Row],[Category]],3)</f>
        <v>Ele</v>
      </c>
      <c r="P291" s="2"/>
    </row>
    <row r="292" spans="1:16" x14ac:dyDescent="0.35">
      <c r="A292" t="s">
        <v>302</v>
      </c>
      <c r="B292" t="s">
        <v>1216</v>
      </c>
      <c r="C292" t="s">
        <v>1227</v>
      </c>
      <c r="D292">
        <v>4100</v>
      </c>
      <c r="E292">
        <v>3</v>
      </c>
      <c r="F292" t="s">
        <v>1385</v>
      </c>
      <c r="G292" t="s">
        <v>1587</v>
      </c>
      <c r="H292" t="s">
        <v>1591</v>
      </c>
      <c r="I292">
        <v>12300</v>
      </c>
      <c r="J292">
        <v>60</v>
      </c>
      <c r="K292" t="s">
        <v>1595</v>
      </c>
      <c r="L292" t="s">
        <v>1599</v>
      </c>
      <c r="M292" t="str">
        <f>IF(Table1[[#This Row],[Quantity]]&gt;2,"Bulk Order","Normal Order")</f>
        <v>Bulk Order</v>
      </c>
      <c r="N292" t="str">
        <f>_xlfn.CONCAT(Table1[[#This Row],[Category]],"-",Table1[[#This Row],[City]])</f>
        <v>Accessories-Mumbai</v>
      </c>
      <c r="O292" t="str">
        <f>LEFT(Table1[[#This Row],[Category]],3)</f>
        <v>Acc</v>
      </c>
      <c r="P292" s="2"/>
    </row>
    <row r="293" spans="1:16" x14ac:dyDescent="0.35">
      <c r="A293" t="s">
        <v>303</v>
      </c>
      <c r="B293" t="s">
        <v>1219</v>
      </c>
      <c r="C293" t="s">
        <v>1226</v>
      </c>
      <c r="D293">
        <v>3665</v>
      </c>
      <c r="E293">
        <v>2</v>
      </c>
      <c r="F293" t="s">
        <v>1250</v>
      </c>
      <c r="G293" t="s">
        <v>1585</v>
      </c>
      <c r="H293" t="s">
        <v>1593</v>
      </c>
      <c r="I293">
        <v>7330</v>
      </c>
      <c r="J293">
        <v>23</v>
      </c>
      <c r="K293" t="s">
        <v>1594</v>
      </c>
      <c r="L293" t="s">
        <v>1599</v>
      </c>
      <c r="M293" t="str">
        <f>IF(Table1[[#This Row],[Quantity]]&gt;2,"Bulk Order","Normal Order")</f>
        <v>Normal Order</v>
      </c>
      <c r="N293" t="str">
        <f>_xlfn.CONCAT(Table1[[#This Row],[Category]],"-",Table1[[#This Row],[City]])</f>
        <v>Home-Kolkata</v>
      </c>
      <c r="O293" t="str">
        <f>LEFT(Table1[[#This Row],[Category]],3)</f>
        <v>Hom</v>
      </c>
      <c r="P293" s="2"/>
    </row>
    <row r="294" spans="1:16" x14ac:dyDescent="0.35">
      <c r="A294" t="s">
        <v>304</v>
      </c>
      <c r="B294" t="s">
        <v>1216</v>
      </c>
      <c r="C294" t="s">
        <v>1227</v>
      </c>
      <c r="D294">
        <v>3715</v>
      </c>
      <c r="E294">
        <v>2</v>
      </c>
      <c r="F294" t="s">
        <v>1436</v>
      </c>
      <c r="G294" t="s">
        <v>1589</v>
      </c>
      <c r="H294" t="s">
        <v>1590</v>
      </c>
      <c r="I294">
        <v>7430</v>
      </c>
      <c r="J294">
        <v>24</v>
      </c>
      <c r="K294" t="s">
        <v>1595</v>
      </c>
      <c r="L294" t="s">
        <v>1598</v>
      </c>
      <c r="M294" t="str">
        <f>IF(Table1[[#This Row],[Quantity]]&gt;2,"Bulk Order","Normal Order")</f>
        <v>Normal Order</v>
      </c>
      <c r="N294" t="str">
        <f>_xlfn.CONCAT(Table1[[#This Row],[Category]],"-",Table1[[#This Row],[City]])</f>
        <v>Accessories-Bangalore</v>
      </c>
      <c r="O294" t="str">
        <f>LEFT(Table1[[#This Row],[Category]],3)</f>
        <v>Acc</v>
      </c>
      <c r="P294" s="2"/>
    </row>
    <row r="295" spans="1:16" x14ac:dyDescent="0.35">
      <c r="A295" t="s">
        <v>305</v>
      </c>
      <c r="B295" t="s">
        <v>1221</v>
      </c>
      <c r="C295" t="s">
        <v>1225</v>
      </c>
      <c r="D295">
        <v>4364</v>
      </c>
      <c r="E295">
        <v>4</v>
      </c>
      <c r="F295" t="s">
        <v>1375</v>
      </c>
      <c r="G295" t="s">
        <v>1586</v>
      </c>
      <c r="H295" t="s">
        <v>1591</v>
      </c>
      <c r="I295">
        <v>17456</v>
      </c>
      <c r="J295">
        <v>81</v>
      </c>
      <c r="K295" t="s">
        <v>1595</v>
      </c>
      <c r="L295" t="s">
        <v>1598</v>
      </c>
      <c r="M295" t="str">
        <f>IF(Table1[[#This Row],[Quantity]]&gt;2,"Bulk Order","Normal Order")</f>
        <v>Bulk Order</v>
      </c>
      <c r="N295" t="str">
        <f>_xlfn.CONCAT(Table1[[#This Row],[Category]],"-",Table1[[#This Row],[City]])</f>
        <v>Fitness-Hyderabad</v>
      </c>
      <c r="O295" t="str">
        <f>LEFT(Table1[[#This Row],[Category]],3)</f>
        <v>Fit</v>
      </c>
      <c r="P295" s="2"/>
    </row>
    <row r="296" spans="1:16" x14ac:dyDescent="0.35">
      <c r="A296" t="s">
        <v>306</v>
      </c>
      <c r="B296" t="s">
        <v>1219</v>
      </c>
      <c r="C296" t="s">
        <v>1224</v>
      </c>
      <c r="D296">
        <v>523</v>
      </c>
      <c r="E296">
        <v>1</v>
      </c>
      <c r="F296" t="s">
        <v>1251</v>
      </c>
      <c r="G296" t="s">
        <v>1584</v>
      </c>
      <c r="H296" t="s">
        <v>1593</v>
      </c>
      <c r="I296">
        <v>523</v>
      </c>
      <c r="J296">
        <v>77</v>
      </c>
      <c r="K296" t="s">
        <v>1594</v>
      </c>
      <c r="L296" t="s">
        <v>1598</v>
      </c>
      <c r="M296" t="str">
        <f>IF(Table1[[#This Row],[Quantity]]&gt;2,"Bulk Order","Normal Order")</f>
        <v>Normal Order</v>
      </c>
      <c r="N296" t="str">
        <f>_xlfn.CONCAT(Table1[[#This Row],[Category]],"-",Table1[[#This Row],[City]])</f>
        <v>Lifestyle-Chennai</v>
      </c>
      <c r="O296" t="str">
        <f>LEFT(Table1[[#This Row],[Category]],3)</f>
        <v>Lif</v>
      </c>
      <c r="P296" s="2"/>
    </row>
    <row r="297" spans="1:16" x14ac:dyDescent="0.35">
      <c r="A297" t="s">
        <v>307</v>
      </c>
      <c r="B297" t="s">
        <v>1212</v>
      </c>
      <c r="C297" t="s">
        <v>1225</v>
      </c>
      <c r="D297">
        <v>2672</v>
      </c>
      <c r="E297">
        <v>4</v>
      </c>
      <c r="F297" t="s">
        <v>1359</v>
      </c>
      <c r="G297" t="s">
        <v>1585</v>
      </c>
      <c r="H297" t="s">
        <v>1593</v>
      </c>
      <c r="I297">
        <v>10688</v>
      </c>
      <c r="J297">
        <v>84</v>
      </c>
      <c r="K297" t="s">
        <v>1595</v>
      </c>
      <c r="L297" t="s">
        <v>1599</v>
      </c>
      <c r="M297" t="str">
        <f>IF(Table1[[#This Row],[Quantity]]&gt;2,"Bulk Order","Normal Order")</f>
        <v>Bulk Order</v>
      </c>
      <c r="N297" t="str">
        <f>_xlfn.CONCAT(Table1[[#This Row],[Category]],"-",Table1[[#This Row],[City]])</f>
        <v>Fitness-Kolkata</v>
      </c>
      <c r="O297" t="str">
        <f>LEFT(Table1[[#This Row],[Category]],3)</f>
        <v>Fit</v>
      </c>
      <c r="P297" s="2"/>
    </row>
    <row r="298" spans="1:16" x14ac:dyDescent="0.35">
      <c r="A298" t="s">
        <v>308</v>
      </c>
      <c r="B298" t="s">
        <v>1221</v>
      </c>
      <c r="C298" t="s">
        <v>1228</v>
      </c>
      <c r="D298">
        <v>2410</v>
      </c>
      <c r="E298">
        <v>3</v>
      </c>
      <c r="F298" t="s">
        <v>1235</v>
      </c>
      <c r="G298" t="s">
        <v>1589</v>
      </c>
      <c r="H298" t="s">
        <v>1592</v>
      </c>
      <c r="I298">
        <v>7230</v>
      </c>
      <c r="J298">
        <v>98</v>
      </c>
      <c r="K298" t="s">
        <v>1595</v>
      </c>
      <c r="L298" t="s">
        <v>1598</v>
      </c>
      <c r="M298" t="str">
        <f>IF(Table1[[#This Row],[Quantity]]&gt;2,"Bulk Order","Normal Order")</f>
        <v>Bulk Order</v>
      </c>
      <c r="N298" t="str">
        <f>_xlfn.CONCAT(Table1[[#This Row],[Category]],"-",Table1[[#This Row],[City]])</f>
        <v>Electronics-Bangalore</v>
      </c>
      <c r="O298" t="str">
        <f>LEFT(Table1[[#This Row],[Category]],3)</f>
        <v>Ele</v>
      </c>
      <c r="P298" s="2"/>
    </row>
    <row r="299" spans="1:16" x14ac:dyDescent="0.35">
      <c r="A299" t="s">
        <v>309</v>
      </c>
      <c r="B299" t="s">
        <v>1222</v>
      </c>
      <c r="C299" t="s">
        <v>1227</v>
      </c>
      <c r="D299">
        <v>2484</v>
      </c>
      <c r="E299">
        <v>2</v>
      </c>
      <c r="F299" t="s">
        <v>1437</v>
      </c>
      <c r="G299" t="s">
        <v>1588</v>
      </c>
      <c r="H299" t="s">
        <v>1592</v>
      </c>
      <c r="I299">
        <v>4968</v>
      </c>
      <c r="J299">
        <v>58</v>
      </c>
      <c r="K299" t="s">
        <v>1594</v>
      </c>
      <c r="L299" t="s">
        <v>1598</v>
      </c>
      <c r="M299" t="str">
        <f>IF(Table1[[#This Row],[Quantity]]&gt;2,"Bulk Order","Normal Order")</f>
        <v>Normal Order</v>
      </c>
      <c r="N299" t="str">
        <f>_xlfn.CONCAT(Table1[[#This Row],[Category]],"-",Table1[[#This Row],[City]])</f>
        <v>Accessories-Delhi</v>
      </c>
      <c r="O299" t="str">
        <f>LEFT(Table1[[#This Row],[Category]],3)</f>
        <v>Acc</v>
      </c>
      <c r="P299" s="2"/>
    </row>
    <row r="300" spans="1:16" x14ac:dyDescent="0.35">
      <c r="A300" t="s">
        <v>310</v>
      </c>
      <c r="B300" t="s">
        <v>1223</v>
      </c>
      <c r="C300" t="s">
        <v>1225</v>
      </c>
      <c r="D300">
        <v>3371</v>
      </c>
      <c r="E300">
        <v>3</v>
      </c>
      <c r="F300" t="s">
        <v>1438</v>
      </c>
      <c r="G300" t="s">
        <v>1585</v>
      </c>
      <c r="H300" t="s">
        <v>1590</v>
      </c>
      <c r="I300">
        <v>10113</v>
      </c>
      <c r="J300">
        <v>91</v>
      </c>
      <c r="K300" t="s">
        <v>1596</v>
      </c>
      <c r="L300" t="s">
        <v>1599</v>
      </c>
      <c r="M300" t="str">
        <f>IF(Table1[[#This Row],[Quantity]]&gt;2,"Bulk Order","Normal Order")</f>
        <v>Bulk Order</v>
      </c>
      <c r="N300" t="str">
        <f>_xlfn.CONCAT(Table1[[#This Row],[Category]],"-",Table1[[#This Row],[City]])</f>
        <v>Fitness-Kolkata</v>
      </c>
      <c r="O300" t="str">
        <f>LEFT(Table1[[#This Row],[Category]],3)</f>
        <v>Fit</v>
      </c>
      <c r="P300" s="2"/>
    </row>
    <row r="301" spans="1:16" x14ac:dyDescent="0.35">
      <c r="A301" t="s">
        <v>311</v>
      </c>
      <c r="B301" t="s">
        <v>1218</v>
      </c>
      <c r="C301" t="s">
        <v>1228</v>
      </c>
      <c r="D301">
        <v>1098</v>
      </c>
      <c r="E301">
        <v>2</v>
      </c>
      <c r="F301" t="s">
        <v>1439</v>
      </c>
      <c r="G301" t="s">
        <v>1584</v>
      </c>
      <c r="H301" t="s">
        <v>1591</v>
      </c>
      <c r="I301">
        <v>2196</v>
      </c>
      <c r="J301">
        <v>75</v>
      </c>
      <c r="K301" t="s">
        <v>1595</v>
      </c>
      <c r="L301" t="s">
        <v>1599</v>
      </c>
      <c r="M301" t="str">
        <f>IF(Table1[[#This Row],[Quantity]]&gt;2,"Bulk Order","Normal Order")</f>
        <v>Normal Order</v>
      </c>
      <c r="N301" t="str">
        <f>_xlfn.CONCAT(Table1[[#This Row],[Category]],"-",Table1[[#This Row],[City]])</f>
        <v>Electronics-Chennai</v>
      </c>
      <c r="O301" t="str">
        <f>LEFT(Table1[[#This Row],[Category]],3)</f>
        <v>Ele</v>
      </c>
      <c r="P301" s="2"/>
    </row>
    <row r="302" spans="1:16" x14ac:dyDescent="0.35">
      <c r="A302" t="s">
        <v>312</v>
      </c>
      <c r="B302" t="s">
        <v>1215</v>
      </c>
      <c r="C302" t="s">
        <v>1224</v>
      </c>
      <c r="D302">
        <v>1419</v>
      </c>
      <c r="E302">
        <v>1</v>
      </c>
      <c r="F302" t="s">
        <v>1409</v>
      </c>
      <c r="G302" t="s">
        <v>1585</v>
      </c>
      <c r="H302" t="s">
        <v>1593</v>
      </c>
      <c r="I302">
        <v>1419</v>
      </c>
      <c r="J302">
        <v>44</v>
      </c>
      <c r="K302" t="s">
        <v>1595</v>
      </c>
      <c r="L302" t="s">
        <v>1599</v>
      </c>
      <c r="M302" t="str">
        <f>IF(Table1[[#This Row],[Quantity]]&gt;2,"Bulk Order","Normal Order")</f>
        <v>Normal Order</v>
      </c>
      <c r="N302" t="str">
        <f>_xlfn.CONCAT(Table1[[#This Row],[Category]],"-",Table1[[#This Row],[City]])</f>
        <v>Lifestyle-Kolkata</v>
      </c>
      <c r="O302" t="str">
        <f>LEFT(Table1[[#This Row],[Category]],3)</f>
        <v>Lif</v>
      </c>
      <c r="P302" s="2"/>
    </row>
    <row r="303" spans="1:16" x14ac:dyDescent="0.35">
      <c r="A303" t="s">
        <v>313</v>
      </c>
      <c r="B303" t="s">
        <v>1218</v>
      </c>
      <c r="C303" t="s">
        <v>1226</v>
      </c>
      <c r="D303">
        <v>1795</v>
      </c>
      <c r="E303">
        <v>4</v>
      </c>
      <c r="F303" t="s">
        <v>1306</v>
      </c>
      <c r="G303" t="s">
        <v>1584</v>
      </c>
      <c r="H303" t="s">
        <v>1592</v>
      </c>
      <c r="I303">
        <v>7180</v>
      </c>
      <c r="J303">
        <v>24</v>
      </c>
      <c r="K303" t="s">
        <v>1595</v>
      </c>
      <c r="L303" t="s">
        <v>1599</v>
      </c>
      <c r="M303" t="str">
        <f>IF(Table1[[#This Row],[Quantity]]&gt;2,"Bulk Order","Normal Order")</f>
        <v>Bulk Order</v>
      </c>
      <c r="N303" t="str">
        <f>_xlfn.CONCAT(Table1[[#This Row],[Category]],"-",Table1[[#This Row],[City]])</f>
        <v>Home-Chennai</v>
      </c>
      <c r="O303" t="str">
        <f>LEFT(Table1[[#This Row],[Category]],3)</f>
        <v>Hom</v>
      </c>
      <c r="P303" s="2"/>
    </row>
    <row r="304" spans="1:16" x14ac:dyDescent="0.35">
      <c r="A304" t="s">
        <v>314</v>
      </c>
      <c r="B304" t="s">
        <v>1214</v>
      </c>
      <c r="C304" t="s">
        <v>1228</v>
      </c>
      <c r="D304">
        <v>4346</v>
      </c>
      <c r="E304">
        <v>1</v>
      </c>
      <c r="F304" t="s">
        <v>1414</v>
      </c>
      <c r="G304" t="s">
        <v>1585</v>
      </c>
      <c r="H304" t="s">
        <v>1590</v>
      </c>
      <c r="I304">
        <v>4346</v>
      </c>
      <c r="J304">
        <v>50</v>
      </c>
      <c r="K304" t="s">
        <v>1594</v>
      </c>
      <c r="L304" t="s">
        <v>1599</v>
      </c>
      <c r="M304" t="str">
        <f>IF(Table1[[#This Row],[Quantity]]&gt;2,"Bulk Order","Normal Order")</f>
        <v>Normal Order</v>
      </c>
      <c r="N304" t="str">
        <f>_xlfn.CONCAT(Table1[[#This Row],[Category]],"-",Table1[[#This Row],[City]])</f>
        <v>Electronics-Kolkata</v>
      </c>
      <c r="O304" t="str">
        <f>LEFT(Table1[[#This Row],[Category]],3)</f>
        <v>Ele</v>
      </c>
      <c r="P304" s="2"/>
    </row>
    <row r="305" spans="1:16" x14ac:dyDescent="0.35">
      <c r="A305" t="s">
        <v>315</v>
      </c>
      <c r="B305" t="s">
        <v>1221</v>
      </c>
      <c r="C305" t="s">
        <v>1228</v>
      </c>
      <c r="D305">
        <v>3380</v>
      </c>
      <c r="E305">
        <v>1</v>
      </c>
      <c r="F305" t="s">
        <v>1332</v>
      </c>
      <c r="G305" t="s">
        <v>1588</v>
      </c>
      <c r="H305" t="s">
        <v>1591</v>
      </c>
      <c r="I305">
        <v>3380</v>
      </c>
      <c r="J305">
        <v>64</v>
      </c>
      <c r="K305" t="s">
        <v>1595</v>
      </c>
      <c r="L305" t="s">
        <v>1599</v>
      </c>
      <c r="M305" t="str">
        <f>IF(Table1[[#This Row],[Quantity]]&gt;2,"Bulk Order","Normal Order")</f>
        <v>Normal Order</v>
      </c>
      <c r="N305" t="str">
        <f>_xlfn.CONCAT(Table1[[#This Row],[Category]],"-",Table1[[#This Row],[City]])</f>
        <v>Electronics-Delhi</v>
      </c>
      <c r="O305" t="str">
        <f>LEFT(Table1[[#This Row],[Category]],3)</f>
        <v>Ele</v>
      </c>
      <c r="P305" s="2"/>
    </row>
    <row r="306" spans="1:16" x14ac:dyDescent="0.35">
      <c r="A306" t="s">
        <v>316</v>
      </c>
      <c r="B306" t="s">
        <v>1223</v>
      </c>
      <c r="C306" t="s">
        <v>1226</v>
      </c>
      <c r="D306">
        <v>301</v>
      </c>
      <c r="E306">
        <v>1</v>
      </c>
      <c r="F306" t="s">
        <v>1256</v>
      </c>
      <c r="G306" t="s">
        <v>1589</v>
      </c>
      <c r="H306" t="s">
        <v>1592</v>
      </c>
      <c r="I306">
        <v>301</v>
      </c>
      <c r="J306">
        <v>28</v>
      </c>
      <c r="K306" t="s">
        <v>1595</v>
      </c>
      <c r="L306" t="s">
        <v>1597</v>
      </c>
      <c r="M306" t="str">
        <f>IF(Table1[[#This Row],[Quantity]]&gt;2,"Bulk Order","Normal Order")</f>
        <v>Normal Order</v>
      </c>
      <c r="N306" t="str">
        <f>_xlfn.CONCAT(Table1[[#This Row],[Category]],"-",Table1[[#This Row],[City]])</f>
        <v>Home-Bangalore</v>
      </c>
      <c r="O306" t="str">
        <f>LEFT(Table1[[#This Row],[Category]],3)</f>
        <v>Hom</v>
      </c>
      <c r="P306" s="2"/>
    </row>
    <row r="307" spans="1:16" x14ac:dyDescent="0.35">
      <c r="A307" t="s">
        <v>317</v>
      </c>
      <c r="B307" t="s">
        <v>1218</v>
      </c>
      <c r="C307" t="s">
        <v>1226</v>
      </c>
      <c r="D307">
        <v>929</v>
      </c>
      <c r="E307">
        <v>1</v>
      </c>
      <c r="F307" t="s">
        <v>1352</v>
      </c>
      <c r="G307" t="s">
        <v>1588</v>
      </c>
      <c r="H307" t="s">
        <v>1593</v>
      </c>
      <c r="I307">
        <v>929</v>
      </c>
      <c r="J307">
        <v>83</v>
      </c>
      <c r="K307" t="s">
        <v>1595</v>
      </c>
      <c r="L307" t="s">
        <v>1598</v>
      </c>
      <c r="M307" t="str">
        <f>IF(Table1[[#This Row],[Quantity]]&gt;2,"Bulk Order","Normal Order")</f>
        <v>Normal Order</v>
      </c>
      <c r="N307" t="str">
        <f>_xlfn.CONCAT(Table1[[#This Row],[Category]],"-",Table1[[#This Row],[City]])</f>
        <v>Home-Delhi</v>
      </c>
      <c r="O307" t="str">
        <f>LEFT(Table1[[#This Row],[Category]],3)</f>
        <v>Hom</v>
      </c>
      <c r="P307" s="2"/>
    </row>
    <row r="308" spans="1:16" x14ac:dyDescent="0.35">
      <c r="A308" t="s">
        <v>318</v>
      </c>
      <c r="B308" t="s">
        <v>1221</v>
      </c>
      <c r="C308" t="s">
        <v>1225</v>
      </c>
      <c r="D308">
        <v>2539</v>
      </c>
      <c r="E308">
        <v>1</v>
      </c>
      <c r="F308" t="s">
        <v>1258</v>
      </c>
      <c r="G308" t="s">
        <v>1588</v>
      </c>
      <c r="H308" t="s">
        <v>1592</v>
      </c>
      <c r="I308">
        <v>2539</v>
      </c>
      <c r="J308">
        <v>24</v>
      </c>
      <c r="K308" t="s">
        <v>1595</v>
      </c>
      <c r="L308" t="s">
        <v>1597</v>
      </c>
      <c r="M308" t="str">
        <f>IF(Table1[[#This Row],[Quantity]]&gt;2,"Bulk Order","Normal Order")</f>
        <v>Normal Order</v>
      </c>
      <c r="N308" t="str">
        <f>_xlfn.CONCAT(Table1[[#This Row],[Category]],"-",Table1[[#This Row],[City]])</f>
        <v>Fitness-Delhi</v>
      </c>
      <c r="O308" t="str">
        <f>LEFT(Table1[[#This Row],[Category]],3)</f>
        <v>Fit</v>
      </c>
      <c r="P308" s="2"/>
    </row>
    <row r="309" spans="1:16" x14ac:dyDescent="0.35">
      <c r="A309" t="s">
        <v>319</v>
      </c>
      <c r="B309" t="s">
        <v>1220</v>
      </c>
      <c r="C309" t="s">
        <v>1227</v>
      </c>
      <c r="D309">
        <v>1401</v>
      </c>
      <c r="E309">
        <v>1</v>
      </c>
      <c r="F309" t="s">
        <v>1308</v>
      </c>
      <c r="G309" t="s">
        <v>1588</v>
      </c>
      <c r="H309" t="s">
        <v>1593</v>
      </c>
      <c r="I309">
        <v>1401</v>
      </c>
      <c r="J309">
        <v>22</v>
      </c>
      <c r="K309" t="s">
        <v>1595</v>
      </c>
      <c r="L309" t="s">
        <v>1599</v>
      </c>
      <c r="M309" t="str">
        <f>IF(Table1[[#This Row],[Quantity]]&gt;2,"Bulk Order","Normal Order")</f>
        <v>Normal Order</v>
      </c>
      <c r="N309" t="str">
        <f>_xlfn.CONCAT(Table1[[#This Row],[Category]],"-",Table1[[#This Row],[City]])</f>
        <v>Accessories-Delhi</v>
      </c>
      <c r="O309" t="str">
        <f>LEFT(Table1[[#This Row],[Category]],3)</f>
        <v>Acc</v>
      </c>
      <c r="P309" s="2"/>
    </row>
    <row r="310" spans="1:16" x14ac:dyDescent="0.35">
      <c r="A310" t="s">
        <v>320</v>
      </c>
      <c r="B310" t="s">
        <v>1215</v>
      </c>
      <c r="C310" t="s">
        <v>1225</v>
      </c>
      <c r="D310">
        <v>3710</v>
      </c>
      <c r="E310">
        <v>4</v>
      </c>
      <c r="F310" t="s">
        <v>1440</v>
      </c>
      <c r="G310" t="s">
        <v>1589</v>
      </c>
      <c r="H310" t="s">
        <v>1591</v>
      </c>
      <c r="I310">
        <v>14840</v>
      </c>
      <c r="J310">
        <v>31</v>
      </c>
      <c r="K310" t="s">
        <v>1594</v>
      </c>
      <c r="L310" t="s">
        <v>1598</v>
      </c>
      <c r="M310" t="str">
        <f>IF(Table1[[#This Row],[Quantity]]&gt;2,"Bulk Order","Normal Order")</f>
        <v>Bulk Order</v>
      </c>
      <c r="N310" t="str">
        <f>_xlfn.CONCAT(Table1[[#This Row],[Category]],"-",Table1[[#This Row],[City]])</f>
        <v>Fitness-Bangalore</v>
      </c>
      <c r="O310" t="str">
        <f>LEFT(Table1[[#This Row],[Category]],3)</f>
        <v>Fit</v>
      </c>
      <c r="P310" s="2"/>
    </row>
    <row r="311" spans="1:16" x14ac:dyDescent="0.35">
      <c r="A311" t="s">
        <v>321</v>
      </c>
      <c r="B311" t="s">
        <v>1215</v>
      </c>
      <c r="C311" t="s">
        <v>1227</v>
      </c>
      <c r="D311">
        <v>3394</v>
      </c>
      <c r="E311">
        <v>4</v>
      </c>
      <c r="F311" t="s">
        <v>1407</v>
      </c>
      <c r="G311" t="s">
        <v>1588</v>
      </c>
      <c r="H311" t="s">
        <v>1592</v>
      </c>
      <c r="I311">
        <v>13576</v>
      </c>
      <c r="J311">
        <v>34</v>
      </c>
      <c r="K311" t="s">
        <v>1595</v>
      </c>
      <c r="L311" t="s">
        <v>1599</v>
      </c>
      <c r="M311" t="str">
        <f>IF(Table1[[#This Row],[Quantity]]&gt;2,"Bulk Order","Normal Order")</f>
        <v>Bulk Order</v>
      </c>
      <c r="N311" t="str">
        <f>_xlfn.CONCAT(Table1[[#This Row],[Category]],"-",Table1[[#This Row],[City]])</f>
        <v>Accessories-Delhi</v>
      </c>
      <c r="O311" t="str">
        <f>LEFT(Table1[[#This Row],[Category]],3)</f>
        <v>Acc</v>
      </c>
      <c r="P311" s="2"/>
    </row>
    <row r="312" spans="1:16" x14ac:dyDescent="0.35">
      <c r="A312" t="s">
        <v>322</v>
      </c>
      <c r="B312" t="s">
        <v>1216</v>
      </c>
      <c r="C312" t="s">
        <v>1228</v>
      </c>
      <c r="D312">
        <v>1385</v>
      </c>
      <c r="E312">
        <v>3</v>
      </c>
      <c r="F312" t="s">
        <v>1287</v>
      </c>
      <c r="G312" t="s">
        <v>1589</v>
      </c>
      <c r="H312" t="s">
        <v>1590</v>
      </c>
      <c r="I312">
        <v>4155</v>
      </c>
      <c r="J312">
        <v>47</v>
      </c>
      <c r="K312" t="s">
        <v>1596</v>
      </c>
      <c r="L312" t="s">
        <v>1599</v>
      </c>
      <c r="M312" t="str">
        <f>IF(Table1[[#This Row],[Quantity]]&gt;2,"Bulk Order","Normal Order")</f>
        <v>Bulk Order</v>
      </c>
      <c r="N312" t="str">
        <f>_xlfn.CONCAT(Table1[[#This Row],[Category]],"-",Table1[[#This Row],[City]])</f>
        <v>Electronics-Bangalore</v>
      </c>
      <c r="O312" t="str">
        <f>LEFT(Table1[[#This Row],[Category]],3)</f>
        <v>Ele</v>
      </c>
      <c r="P312" s="2"/>
    </row>
    <row r="313" spans="1:16" x14ac:dyDescent="0.35">
      <c r="A313" t="s">
        <v>323</v>
      </c>
      <c r="B313" t="s">
        <v>1220</v>
      </c>
      <c r="C313" t="s">
        <v>1228</v>
      </c>
      <c r="D313">
        <v>700</v>
      </c>
      <c r="E313">
        <v>2</v>
      </c>
      <c r="F313" t="s">
        <v>1441</v>
      </c>
      <c r="G313" t="s">
        <v>1587</v>
      </c>
      <c r="H313" t="s">
        <v>1591</v>
      </c>
      <c r="I313">
        <v>1400</v>
      </c>
      <c r="J313">
        <v>95</v>
      </c>
      <c r="K313" t="s">
        <v>1595</v>
      </c>
      <c r="L313" t="s">
        <v>1598</v>
      </c>
      <c r="M313" t="str">
        <f>IF(Table1[[#This Row],[Quantity]]&gt;2,"Bulk Order","Normal Order")</f>
        <v>Normal Order</v>
      </c>
      <c r="N313" t="str">
        <f>_xlfn.CONCAT(Table1[[#This Row],[Category]],"-",Table1[[#This Row],[City]])</f>
        <v>Electronics-Mumbai</v>
      </c>
      <c r="O313" t="str">
        <f>LEFT(Table1[[#This Row],[Category]],3)</f>
        <v>Ele</v>
      </c>
      <c r="P313" s="2"/>
    </row>
    <row r="314" spans="1:16" x14ac:dyDescent="0.35">
      <c r="A314" t="s">
        <v>324</v>
      </c>
      <c r="B314" t="s">
        <v>1213</v>
      </c>
      <c r="C314" t="s">
        <v>1226</v>
      </c>
      <c r="D314">
        <v>2318</v>
      </c>
      <c r="E314">
        <v>1</v>
      </c>
      <c r="F314" t="s">
        <v>1418</v>
      </c>
      <c r="G314" t="s">
        <v>1588</v>
      </c>
      <c r="H314" t="s">
        <v>1590</v>
      </c>
      <c r="I314">
        <v>2318</v>
      </c>
      <c r="J314">
        <v>52</v>
      </c>
      <c r="K314" t="s">
        <v>1595</v>
      </c>
      <c r="L314" t="s">
        <v>1599</v>
      </c>
      <c r="M314" t="str">
        <f>IF(Table1[[#This Row],[Quantity]]&gt;2,"Bulk Order","Normal Order")</f>
        <v>Normal Order</v>
      </c>
      <c r="N314" t="str">
        <f>_xlfn.CONCAT(Table1[[#This Row],[Category]],"-",Table1[[#This Row],[City]])</f>
        <v>Home-Delhi</v>
      </c>
      <c r="O314" t="str">
        <f>LEFT(Table1[[#This Row],[Category]],3)</f>
        <v>Hom</v>
      </c>
      <c r="P314" s="2"/>
    </row>
    <row r="315" spans="1:16" x14ac:dyDescent="0.35">
      <c r="A315" t="s">
        <v>325</v>
      </c>
      <c r="B315" t="s">
        <v>1221</v>
      </c>
      <c r="C315" t="s">
        <v>1225</v>
      </c>
      <c r="D315">
        <v>2480</v>
      </c>
      <c r="E315">
        <v>4</v>
      </c>
      <c r="F315" t="s">
        <v>1256</v>
      </c>
      <c r="G315" t="s">
        <v>1589</v>
      </c>
      <c r="H315" t="s">
        <v>1590</v>
      </c>
      <c r="I315">
        <v>9920</v>
      </c>
      <c r="J315">
        <v>95</v>
      </c>
      <c r="K315" t="s">
        <v>1595</v>
      </c>
      <c r="L315" t="s">
        <v>1598</v>
      </c>
      <c r="M315" t="str">
        <f>IF(Table1[[#This Row],[Quantity]]&gt;2,"Bulk Order","Normal Order")</f>
        <v>Bulk Order</v>
      </c>
      <c r="N315" t="str">
        <f>_xlfn.CONCAT(Table1[[#This Row],[Category]],"-",Table1[[#This Row],[City]])</f>
        <v>Fitness-Bangalore</v>
      </c>
      <c r="O315" t="str">
        <f>LEFT(Table1[[#This Row],[Category]],3)</f>
        <v>Fit</v>
      </c>
      <c r="P315" s="2"/>
    </row>
    <row r="316" spans="1:16" x14ac:dyDescent="0.35">
      <c r="A316" t="s">
        <v>326</v>
      </c>
      <c r="B316" t="s">
        <v>1219</v>
      </c>
      <c r="C316" t="s">
        <v>1228</v>
      </c>
      <c r="D316">
        <v>1742</v>
      </c>
      <c r="E316">
        <v>2</v>
      </c>
      <c r="F316" t="s">
        <v>1442</v>
      </c>
      <c r="G316" t="s">
        <v>1589</v>
      </c>
      <c r="H316" t="s">
        <v>1591</v>
      </c>
      <c r="I316">
        <v>3484</v>
      </c>
      <c r="J316">
        <v>36</v>
      </c>
      <c r="K316" t="s">
        <v>1595</v>
      </c>
      <c r="L316" t="s">
        <v>1599</v>
      </c>
      <c r="M316" t="str">
        <f>IF(Table1[[#This Row],[Quantity]]&gt;2,"Bulk Order","Normal Order")</f>
        <v>Normal Order</v>
      </c>
      <c r="N316" t="str">
        <f>_xlfn.CONCAT(Table1[[#This Row],[Category]],"-",Table1[[#This Row],[City]])</f>
        <v>Electronics-Bangalore</v>
      </c>
      <c r="O316" t="str">
        <f>LEFT(Table1[[#This Row],[Category]],3)</f>
        <v>Ele</v>
      </c>
      <c r="P316" s="2"/>
    </row>
    <row r="317" spans="1:16" x14ac:dyDescent="0.35">
      <c r="A317" t="s">
        <v>327</v>
      </c>
      <c r="B317" t="s">
        <v>1217</v>
      </c>
      <c r="C317" t="s">
        <v>1226</v>
      </c>
      <c r="D317">
        <v>2712</v>
      </c>
      <c r="E317">
        <v>3</v>
      </c>
      <c r="F317" t="s">
        <v>1443</v>
      </c>
      <c r="G317" t="s">
        <v>1586</v>
      </c>
      <c r="H317" t="s">
        <v>1593</v>
      </c>
      <c r="I317">
        <v>8136</v>
      </c>
      <c r="J317">
        <v>73</v>
      </c>
      <c r="K317" t="s">
        <v>1594</v>
      </c>
      <c r="L317" t="s">
        <v>1598</v>
      </c>
      <c r="M317" t="str">
        <f>IF(Table1[[#This Row],[Quantity]]&gt;2,"Bulk Order","Normal Order")</f>
        <v>Bulk Order</v>
      </c>
      <c r="N317" t="str">
        <f>_xlfn.CONCAT(Table1[[#This Row],[Category]],"-",Table1[[#This Row],[City]])</f>
        <v>Home-Hyderabad</v>
      </c>
      <c r="O317" t="str">
        <f>LEFT(Table1[[#This Row],[Category]],3)</f>
        <v>Hom</v>
      </c>
      <c r="P317" s="2"/>
    </row>
    <row r="318" spans="1:16" x14ac:dyDescent="0.35">
      <c r="A318" t="s">
        <v>328</v>
      </c>
      <c r="B318" t="s">
        <v>1215</v>
      </c>
      <c r="C318" t="s">
        <v>1227</v>
      </c>
      <c r="D318">
        <v>1587</v>
      </c>
      <c r="E318">
        <v>1</v>
      </c>
      <c r="F318" t="s">
        <v>1444</v>
      </c>
      <c r="G318" t="s">
        <v>1586</v>
      </c>
      <c r="H318" t="s">
        <v>1592</v>
      </c>
      <c r="I318">
        <v>1587</v>
      </c>
      <c r="J318">
        <v>92</v>
      </c>
      <c r="K318" t="s">
        <v>1595</v>
      </c>
      <c r="L318" t="s">
        <v>1597</v>
      </c>
      <c r="M318" t="str">
        <f>IF(Table1[[#This Row],[Quantity]]&gt;2,"Bulk Order","Normal Order")</f>
        <v>Normal Order</v>
      </c>
      <c r="N318" t="str">
        <f>_xlfn.CONCAT(Table1[[#This Row],[Category]],"-",Table1[[#This Row],[City]])</f>
        <v>Accessories-Hyderabad</v>
      </c>
      <c r="O318" t="str">
        <f>LEFT(Table1[[#This Row],[Category]],3)</f>
        <v>Acc</v>
      </c>
      <c r="P318" s="2"/>
    </row>
    <row r="319" spans="1:16" x14ac:dyDescent="0.35">
      <c r="A319" t="s">
        <v>329</v>
      </c>
      <c r="B319" t="s">
        <v>1216</v>
      </c>
      <c r="C319" t="s">
        <v>1226</v>
      </c>
      <c r="D319">
        <v>2180</v>
      </c>
      <c r="E319">
        <v>3</v>
      </c>
      <c r="F319" t="s">
        <v>1320</v>
      </c>
      <c r="G319" t="s">
        <v>1589</v>
      </c>
      <c r="H319" t="s">
        <v>1591</v>
      </c>
      <c r="I319">
        <v>6540</v>
      </c>
      <c r="J319">
        <v>65</v>
      </c>
      <c r="K319" t="s">
        <v>1595</v>
      </c>
      <c r="L319" t="s">
        <v>1598</v>
      </c>
      <c r="M319" t="str">
        <f>IF(Table1[[#This Row],[Quantity]]&gt;2,"Bulk Order","Normal Order")</f>
        <v>Bulk Order</v>
      </c>
      <c r="N319" t="str">
        <f>_xlfn.CONCAT(Table1[[#This Row],[Category]],"-",Table1[[#This Row],[City]])</f>
        <v>Home-Bangalore</v>
      </c>
      <c r="O319" t="str">
        <f>LEFT(Table1[[#This Row],[Category]],3)</f>
        <v>Hom</v>
      </c>
      <c r="P319" s="2"/>
    </row>
    <row r="320" spans="1:16" x14ac:dyDescent="0.35">
      <c r="A320" t="s">
        <v>330</v>
      </c>
      <c r="B320" t="s">
        <v>1221</v>
      </c>
      <c r="C320" t="s">
        <v>1226</v>
      </c>
      <c r="D320">
        <v>2939</v>
      </c>
      <c r="E320">
        <v>2</v>
      </c>
      <c r="F320" t="s">
        <v>1431</v>
      </c>
      <c r="G320" t="s">
        <v>1586</v>
      </c>
      <c r="H320" t="s">
        <v>1592</v>
      </c>
      <c r="I320">
        <v>5878</v>
      </c>
      <c r="J320">
        <v>47</v>
      </c>
      <c r="K320" t="s">
        <v>1595</v>
      </c>
      <c r="L320" t="s">
        <v>1599</v>
      </c>
      <c r="M320" t="str">
        <f>IF(Table1[[#This Row],[Quantity]]&gt;2,"Bulk Order","Normal Order")</f>
        <v>Normal Order</v>
      </c>
      <c r="N320" t="str">
        <f>_xlfn.CONCAT(Table1[[#This Row],[Category]],"-",Table1[[#This Row],[City]])</f>
        <v>Home-Hyderabad</v>
      </c>
      <c r="O320" t="str">
        <f>LEFT(Table1[[#This Row],[Category]],3)</f>
        <v>Hom</v>
      </c>
      <c r="P320" s="2"/>
    </row>
    <row r="321" spans="1:16" x14ac:dyDescent="0.35">
      <c r="A321" t="s">
        <v>331</v>
      </c>
      <c r="B321" t="s">
        <v>1223</v>
      </c>
      <c r="C321" t="s">
        <v>1225</v>
      </c>
      <c r="D321">
        <v>2504</v>
      </c>
      <c r="E321">
        <v>2</v>
      </c>
      <c r="F321" t="s">
        <v>1384</v>
      </c>
      <c r="G321" t="s">
        <v>1589</v>
      </c>
      <c r="H321" t="s">
        <v>1592</v>
      </c>
      <c r="I321">
        <v>5008</v>
      </c>
      <c r="J321">
        <v>58</v>
      </c>
      <c r="K321" t="s">
        <v>1595</v>
      </c>
      <c r="L321" t="s">
        <v>1599</v>
      </c>
      <c r="M321" t="str">
        <f>IF(Table1[[#This Row],[Quantity]]&gt;2,"Bulk Order","Normal Order")</f>
        <v>Normal Order</v>
      </c>
      <c r="N321" t="str">
        <f>_xlfn.CONCAT(Table1[[#This Row],[Category]],"-",Table1[[#This Row],[City]])</f>
        <v>Fitness-Bangalore</v>
      </c>
      <c r="O321" t="str">
        <f>LEFT(Table1[[#This Row],[Category]],3)</f>
        <v>Fit</v>
      </c>
      <c r="P321" s="2"/>
    </row>
    <row r="322" spans="1:16" x14ac:dyDescent="0.35">
      <c r="A322" t="s">
        <v>332</v>
      </c>
      <c r="B322" t="s">
        <v>1220</v>
      </c>
      <c r="C322" t="s">
        <v>1224</v>
      </c>
      <c r="D322">
        <v>1161</v>
      </c>
      <c r="E322">
        <v>3</v>
      </c>
      <c r="F322" t="s">
        <v>1445</v>
      </c>
      <c r="G322" t="s">
        <v>1586</v>
      </c>
      <c r="H322" t="s">
        <v>1590</v>
      </c>
      <c r="I322">
        <v>3483</v>
      </c>
      <c r="J322">
        <v>60</v>
      </c>
      <c r="K322" t="s">
        <v>1595</v>
      </c>
      <c r="L322" t="s">
        <v>1599</v>
      </c>
      <c r="M322" t="str">
        <f>IF(Table1[[#This Row],[Quantity]]&gt;2,"Bulk Order","Normal Order")</f>
        <v>Bulk Order</v>
      </c>
      <c r="N322" t="str">
        <f>_xlfn.CONCAT(Table1[[#This Row],[Category]],"-",Table1[[#This Row],[City]])</f>
        <v>Lifestyle-Hyderabad</v>
      </c>
      <c r="O322" t="str">
        <f>LEFT(Table1[[#This Row],[Category]],3)</f>
        <v>Lif</v>
      </c>
      <c r="P322" s="2"/>
    </row>
    <row r="323" spans="1:16" x14ac:dyDescent="0.35">
      <c r="A323" t="s">
        <v>333</v>
      </c>
      <c r="B323" t="s">
        <v>1221</v>
      </c>
      <c r="C323" t="s">
        <v>1226</v>
      </c>
      <c r="D323">
        <v>3003</v>
      </c>
      <c r="E323">
        <v>3</v>
      </c>
      <c r="F323" t="s">
        <v>1396</v>
      </c>
      <c r="G323" t="s">
        <v>1587</v>
      </c>
      <c r="H323" t="s">
        <v>1590</v>
      </c>
      <c r="I323">
        <v>9009</v>
      </c>
      <c r="J323">
        <v>54</v>
      </c>
      <c r="K323" t="s">
        <v>1595</v>
      </c>
      <c r="L323" t="s">
        <v>1599</v>
      </c>
      <c r="M323" t="str">
        <f>IF(Table1[[#This Row],[Quantity]]&gt;2,"Bulk Order","Normal Order")</f>
        <v>Bulk Order</v>
      </c>
      <c r="N323" t="str">
        <f>_xlfn.CONCAT(Table1[[#This Row],[Category]],"-",Table1[[#This Row],[City]])</f>
        <v>Home-Mumbai</v>
      </c>
      <c r="O323" t="str">
        <f>LEFT(Table1[[#This Row],[Category]],3)</f>
        <v>Hom</v>
      </c>
      <c r="P323" s="2"/>
    </row>
    <row r="324" spans="1:16" x14ac:dyDescent="0.35">
      <c r="A324" t="s">
        <v>334</v>
      </c>
      <c r="B324" t="s">
        <v>1218</v>
      </c>
      <c r="C324" t="s">
        <v>1225</v>
      </c>
      <c r="D324">
        <v>4337</v>
      </c>
      <c r="E324">
        <v>1</v>
      </c>
      <c r="F324" t="s">
        <v>1446</v>
      </c>
      <c r="G324" t="s">
        <v>1588</v>
      </c>
      <c r="H324" t="s">
        <v>1590</v>
      </c>
      <c r="I324">
        <v>4337</v>
      </c>
      <c r="J324">
        <v>96</v>
      </c>
      <c r="K324" t="s">
        <v>1595</v>
      </c>
      <c r="L324" t="s">
        <v>1599</v>
      </c>
      <c r="M324" t="str">
        <f>IF(Table1[[#This Row],[Quantity]]&gt;2,"Bulk Order","Normal Order")</f>
        <v>Normal Order</v>
      </c>
      <c r="N324" t="str">
        <f>_xlfn.CONCAT(Table1[[#This Row],[Category]],"-",Table1[[#This Row],[City]])</f>
        <v>Fitness-Delhi</v>
      </c>
      <c r="O324" t="str">
        <f>LEFT(Table1[[#This Row],[Category]],3)</f>
        <v>Fit</v>
      </c>
      <c r="P324" s="2"/>
    </row>
    <row r="325" spans="1:16" x14ac:dyDescent="0.35">
      <c r="A325" t="s">
        <v>335</v>
      </c>
      <c r="B325" t="s">
        <v>1215</v>
      </c>
      <c r="C325" t="s">
        <v>1224</v>
      </c>
      <c r="D325">
        <v>1102</v>
      </c>
      <c r="E325">
        <v>4</v>
      </c>
      <c r="F325" t="s">
        <v>1447</v>
      </c>
      <c r="G325" t="s">
        <v>1588</v>
      </c>
      <c r="H325" t="s">
        <v>1593</v>
      </c>
      <c r="I325">
        <v>4408</v>
      </c>
      <c r="J325">
        <v>59</v>
      </c>
      <c r="K325" t="s">
        <v>1596</v>
      </c>
      <c r="L325" t="s">
        <v>1597</v>
      </c>
      <c r="M325" t="str">
        <f>IF(Table1[[#This Row],[Quantity]]&gt;2,"Bulk Order","Normal Order")</f>
        <v>Bulk Order</v>
      </c>
      <c r="N325" t="str">
        <f>_xlfn.CONCAT(Table1[[#This Row],[Category]],"-",Table1[[#This Row],[City]])</f>
        <v>Lifestyle-Delhi</v>
      </c>
      <c r="O325" t="str">
        <f>LEFT(Table1[[#This Row],[Category]],3)</f>
        <v>Lif</v>
      </c>
      <c r="P325" s="2"/>
    </row>
    <row r="326" spans="1:16" x14ac:dyDescent="0.35">
      <c r="A326" t="s">
        <v>336</v>
      </c>
      <c r="B326" t="s">
        <v>1221</v>
      </c>
      <c r="C326" t="s">
        <v>1225</v>
      </c>
      <c r="D326">
        <v>1272</v>
      </c>
      <c r="E326">
        <v>3</v>
      </c>
      <c r="F326" t="s">
        <v>1338</v>
      </c>
      <c r="G326" t="s">
        <v>1587</v>
      </c>
      <c r="H326" t="s">
        <v>1590</v>
      </c>
      <c r="I326">
        <v>3816</v>
      </c>
      <c r="J326">
        <v>90</v>
      </c>
      <c r="K326" t="s">
        <v>1595</v>
      </c>
      <c r="L326" t="s">
        <v>1599</v>
      </c>
      <c r="M326" t="str">
        <f>IF(Table1[[#This Row],[Quantity]]&gt;2,"Bulk Order","Normal Order")</f>
        <v>Bulk Order</v>
      </c>
      <c r="N326" t="str">
        <f>_xlfn.CONCAT(Table1[[#This Row],[Category]],"-",Table1[[#This Row],[City]])</f>
        <v>Fitness-Mumbai</v>
      </c>
      <c r="O326" t="str">
        <f>LEFT(Table1[[#This Row],[Category]],3)</f>
        <v>Fit</v>
      </c>
      <c r="P326" s="2"/>
    </row>
    <row r="327" spans="1:16" x14ac:dyDescent="0.35">
      <c r="A327" t="s">
        <v>337</v>
      </c>
      <c r="B327" t="s">
        <v>1217</v>
      </c>
      <c r="C327" t="s">
        <v>1225</v>
      </c>
      <c r="D327">
        <v>4467</v>
      </c>
      <c r="E327">
        <v>3</v>
      </c>
      <c r="F327" t="s">
        <v>1448</v>
      </c>
      <c r="G327" t="s">
        <v>1588</v>
      </c>
      <c r="H327" t="s">
        <v>1590</v>
      </c>
      <c r="I327">
        <v>13401</v>
      </c>
      <c r="J327">
        <v>99</v>
      </c>
      <c r="K327" t="s">
        <v>1596</v>
      </c>
      <c r="L327" t="s">
        <v>1597</v>
      </c>
      <c r="M327" t="str">
        <f>IF(Table1[[#This Row],[Quantity]]&gt;2,"Bulk Order","Normal Order")</f>
        <v>Bulk Order</v>
      </c>
      <c r="N327" t="str">
        <f>_xlfn.CONCAT(Table1[[#This Row],[Category]],"-",Table1[[#This Row],[City]])</f>
        <v>Fitness-Delhi</v>
      </c>
      <c r="O327" t="str">
        <f>LEFT(Table1[[#This Row],[Category]],3)</f>
        <v>Fit</v>
      </c>
      <c r="P327" s="2"/>
    </row>
    <row r="328" spans="1:16" x14ac:dyDescent="0.35">
      <c r="A328" t="s">
        <v>338</v>
      </c>
      <c r="B328" t="s">
        <v>1219</v>
      </c>
      <c r="C328" t="s">
        <v>1225</v>
      </c>
      <c r="D328">
        <v>3473</v>
      </c>
      <c r="E328">
        <v>4</v>
      </c>
      <c r="F328" t="s">
        <v>1260</v>
      </c>
      <c r="G328" t="s">
        <v>1589</v>
      </c>
      <c r="H328" t="s">
        <v>1591</v>
      </c>
      <c r="I328">
        <v>13892</v>
      </c>
      <c r="J328">
        <v>66</v>
      </c>
      <c r="K328" t="s">
        <v>1595</v>
      </c>
      <c r="L328" t="s">
        <v>1598</v>
      </c>
      <c r="M328" t="str">
        <f>IF(Table1[[#This Row],[Quantity]]&gt;2,"Bulk Order","Normal Order")</f>
        <v>Bulk Order</v>
      </c>
      <c r="N328" t="str">
        <f>_xlfn.CONCAT(Table1[[#This Row],[Category]],"-",Table1[[#This Row],[City]])</f>
        <v>Fitness-Bangalore</v>
      </c>
      <c r="O328" t="str">
        <f>LEFT(Table1[[#This Row],[Category]],3)</f>
        <v>Fit</v>
      </c>
      <c r="P328" s="2"/>
    </row>
    <row r="329" spans="1:16" x14ac:dyDescent="0.35">
      <c r="A329" t="s">
        <v>339</v>
      </c>
      <c r="B329" t="s">
        <v>1215</v>
      </c>
      <c r="C329" t="s">
        <v>1227</v>
      </c>
      <c r="D329">
        <v>722</v>
      </c>
      <c r="E329">
        <v>2</v>
      </c>
      <c r="F329" t="s">
        <v>1366</v>
      </c>
      <c r="G329" t="s">
        <v>1589</v>
      </c>
      <c r="H329" t="s">
        <v>1593</v>
      </c>
      <c r="I329">
        <v>1444</v>
      </c>
      <c r="J329">
        <v>98</v>
      </c>
      <c r="K329" t="s">
        <v>1594</v>
      </c>
      <c r="L329" t="s">
        <v>1599</v>
      </c>
      <c r="M329" t="str">
        <f>IF(Table1[[#This Row],[Quantity]]&gt;2,"Bulk Order","Normal Order")</f>
        <v>Normal Order</v>
      </c>
      <c r="N329" t="str">
        <f>_xlfn.CONCAT(Table1[[#This Row],[Category]],"-",Table1[[#This Row],[City]])</f>
        <v>Accessories-Bangalore</v>
      </c>
      <c r="O329" t="str">
        <f>LEFT(Table1[[#This Row],[Category]],3)</f>
        <v>Acc</v>
      </c>
      <c r="P329" s="2"/>
    </row>
    <row r="330" spans="1:16" x14ac:dyDescent="0.35">
      <c r="A330" t="s">
        <v>340</v>
      </c>
      <c r="B330" t="s">
        <v>1223</v>
      </c>
      <c r="C330" t="s">
        <v>1227</v>
      </c>
      <c r="D330">
        <v>2504</v>
      </c>
      <c r="E330">
        <v>4</v>
      </c>
      <c r="F330" t="s">
        <v>1449</v>
      </c>
      <c r="G330" t="s">
        <v>1586</v>
      </c>
      <c r="H330" t="s">
        <v>1590</v>
      </c>
      <c r="I330">
        <v>10016</v>
      </c>
      <c r="J330">
        <v>65</v>
      </c>
      <c r="K330" t="s">
        <v>1594</v>
      </c>
      <c r="L330" t="s">
        <v>1599</v>
      </c>
      <c r="M330" t="str">
        <f>IF(Table1[[#This Row],[Quantity]]&gt;2,"Bulk Order","Normal Order")</f>
        <v>Bulk Order</v>
      </c>
      <c r="N330" t="str">
        <f>_xlfn.CONCAT(Table1[[#This Row],[Category]],"-",Table1[[#This Row],[City]])</f>
        <v>Accessories-Hyderabad</v>
      </c>
      <c r="O330" t="str">
        <f>LEFT(Table1[[#This Row],[Category]],3)</f>
        <v>Acc</v>
      </c>
      <c r="P330" s="2"/>
    </row>
    <row r="331" spans="1:16" x14ac:dyDescent="0.35">
      <c r="A331" t="s">
        <v>341</v>
      </c>
      <c r="B331" t="s">
        <v>1216</v>
      </c>
      <c r="C331" t="s">
        <v>1225</v>
      </c>
      <c r="D331">
        <v>1076</v>
      </c>
      <c r="E331">
        <v>1</v>
      </c>
      <c r="F331" t="s">
        <v>1337</v>
      </c>
      <c r="G331" t="s">
        <v>1584</v>
      </c>
      <c r="H331" t="s">
        <v>1591</v>
      </c>
      <c r="I331">
        <v>1076</v>
      </c>
      <c r="J331">
        <v>25</v>
      </c>
      <c r="K331" t="s">
        <v>1595</v>
      </c>
      <c r="L331" t="s">
        <v>1599</v>
      </c>
      <c r="M331" t="str">
        <f>IF(Table1[[#This Row],[Quantity]]&gt;2,"Bulk Order","Normal Order")</f>
        <v>Normal Order</v>
      </c>
      <c r="N331" t="str">
        <f>_xlfn.CONCAT(Table1[[#This Row],[Category]],"-",Table1[[#This Row],[City]])</f>
        <v>Fitness-Chennai</v>
      </c>
      <c r="O331" t="str">
        <f>LEFT(Table1[[#This Row],[Category]],3)</f>
        <v>Fit</v>
      </c>
      <c r="P331" s="2"/>
    </row>
    <row r="332" spans="1:16" x14ac:dyDescent="0.35">
      <c r="A332" t="s">
        <v>342</v>
      </c>
      <c r="B332" t="s">
        <v>1214</v>
      </c>
      <c r="C332" t="s">
        <v>1226</v>
      </c>
      <c r="D332">
        <v>2519</v>
      </c>
      <c r="E332">
        <v>3</v>
      </c>
      <c r="F332" t="s">
        <v>1418</v>
      </c>
      <c r="G332" t="s">
        <v>1586</v>
      </c>
      <c r="H332" t="s">
        <v>1591</v>
      </c>
      <c r="I332">
        <v>7557</v>
      </c>
      <c r="J332">
        <v>28</v>
      </c>
      <c r="K332" t="s">
        <v>1595</v>
      </c>
      <c r="L332" t="s">
        <v>1599</v>
      </c>
      <c r="M332" t="str">
        <f>IF(Table1[[#This Row],[Quantity]]&gt;2,"Bulk Order","Normal Order")</f>
        <v>Bulk Order</v>
      </c>
      <c r="N332" t="str">
        <f>_xlfn.CONCAT(Table1[[#This Row],[Category]],"-",Table1[[#This Row],[City]])</f>
        <v>Home-Hyderabad</v>
      </c>
      <c r="O332" t="str">
        <f>LEFT(Table1[[#This Row],[Category]],3)</f>
        <v>Hom</v>
      </c>
      <c r="P332" s="2"/>
    </row>
    <row r="333" spans="1:16" x14ac:dyDescent="0.35">
      <c r="A333" t="s">
        <v>343</v>
      </c>
      <c r="B333" t="s">
        <v>1213</v>
      </c>
      <c r="C333" t="s">
        <v>1225</v>
      </c>
      <c r="D333">
        <v>1982</v>
      </c>
      <c r="E333">
        <v>3</v>
      </c>
      <c r="F333" t="s">
        <v>1450</v>
      </c>
      <c r="G333" t="s">
        <v>1584</v>
      </c>
      <c r="H333" t="s">
        <v>1590</v>
      </c>
      <c r="I333">
        <v>5946</v>
      </c>
      <c r="J333">
        <v>67</v>
      </c>
      <c r="K333" t="s">
        <v>1595</v>
      </c>
      <c r="L333" t="s">
        <v>1599</v>
      </c>
      <c r="M333" t="str">
        <f>IF(Table1[[#This Row],[Quantity]]&gt;2,"Bulk Order","Normal Order")</f>
        <v>Bulk Order</v>
      </c>
      <c r="N333" t="str">
        <f>_xlfn.CONCAT(Table1[[#This Row],[Category]],"-",Table1[[#This Row],[City]])</f>
        <v>Fitness-Chennai</v>
      </c>
      <c r="O333" t="str">
        <f>LEFT(Table1[[#This Row],[Category]],3)</f>
        <v>Fit</v>
      </c>
      <c r="P333" s="2"/>
    </row>
    <row r="334" spans="1:16" x14ac:dyDescent="0.35">
      <c r="A334" t="s">
        <v>344</v>
      </c>
      <c r="B334" t="s">
        <v>1221</v>
      </c>
      <c r="C334" t="s">
        <v>1225</v>
      </c>
      <c r="D334">
        <v>1373</v>
      </c>
      <c r="E334">
        <v>3</v>
      </c>
      <c r="F334" t="s">
        <v>1451</v>
      </c>
      <c r="G334" t="s">
        <v>1586</v>
      </c>
      <c r="H334" t="s">
        <v>1593</v>
      </c>
      <c r="I334">
        <v>4119</v>
      </c>
      <c r="J334">
        <v>20</v>
      </c>
      <c r="K334" t="s">
        <v>1595</v>
      </c>
      <c r="L334" t="s">
        <v>1598</v>
      </c>
      <c r="M334" t="str">
        <f>IF(Table1[[#This Row],[Quantity]]&gt;2,"Bulk Order","Normal Order")</f>
        <v>Bulk Order</v>
      </c>
      <c r="N334" t="str">
        <f>_xlfn.CONCAT(Table1[[#This Row],[Category]],"-",Table1[[#This Row],[City]])</f>
        <v>Fitness-Hyderabad</v>
      </c>
      <c r="O334" t="str">
        <f>LEFT(Table1[[#This Row],[Category]],3)</f>
        <v>Fit</v>
      </c>
      <c r="P334" s="2"/>
    </row>
    <row r="335" spans="1:16" x14ac:dyDescent="0.35">
      <c r="A335" t="s">
        <v>345</v>
      </c>
      <c r="B335" t="s">
        <v>1222</v>
      </c>
      <c r="C335" t="s">
        <v>1228</v>
      </c>
      <c r="D335">
        <v>917</v>
      </c>
      <c r="E335">
        <v>2</v>
      </c>
      <c r="F335" t="s">
        <v>1417</v>
      </c>
      <c r="G335" t="s">
        <v>1584</v>
      </c>
      <c r="H335" t="s">
        <v>1590</v>
      </c>
      <c r="I335">
        <v>1834</v>
      </c>
      <c r="J335">
        <v>92</v>
      </c>
      <c r="K335" t="s">
        <v>1595</v>
      </c>
      <c r="L335" t="s">
        <v>1599</v>
      </c>
      <c r="M335" t="str">
        <f>IF(Table1[[#This Row],[Quantity]]&gt;2,"Bulk Order","Normal Order")</f>
        <v>Normal Order</v>
      </c>
      <c r="N335" t="str">
        <f>_xlfn.CONCAT(Table1[[#This Row],[Category]],"-",Table1[[#This Row],[City]])</f>
        <v>Electronics-Chennai</v>
      </c>
      <c r="O335" t="str">
        <f>LEFT(Table1[[#This Row],[Category]],3)</f>
        <v>Ele</v>
      </c>
      <c r="P335" s="2"/>
    </row>
    <row r="336" spans="1:16" x14ac:dyDescent="0.35">
      <c r="A336" t="s">
        <v>346</v>
      </c>
      <c r="B336" t="s">
        <v>1220</v>
      </c>
      <c r="C336" t="s">
        <v>1224</v>
      </c>
      <c r="D336">
        <v>2517</v>
      </c>
      <c r="E336">
        <v>4</v>
      </c>
      <c r="F336" t="s">
        <v>1452</v>
      </c>
      <c r="G336" t="s">
        <v>1589</v>
      </c>
      <c r="H336" t="s">
        <v>1591</v>
      </c>
      <c r="I336">
        <v>10068</v>
      </c>
      <c r="J336">
        <v>91</v>
      </c>
      <c r="K336" t="s">
        <v>1594</v>
      </c>
      <c r="L336" t="s">
        <v>1599</v>
      </c>
      <c r="M336" t="str">
        <f>IF(Table1[[#This Row],[Quantity]]&gt;2,"Bulk Order","Normal Order")</f>
        <v>Bulk Order</v>
      </c>
      <c r="N336" t="str">
        <f>_xlfn.CONCAT(Table1[[#This Row],[Category]],"-",Table1[[#This Row],[City]])</f>
        <v>Lifestyle-Bangalore</v>
      </c>
      <c r="O336" t="str">
        <f>LEFT(Table1[[#This Row],[Category]],3)</f>
        <v>Lif</v>
      </c>
      <c r="P336" s="2"/>
    </row>
    <row r="337" spans="1:16" x14ac:dyDescent="0.35">
      <c r="A337" t="s">
        <v>347</v>
      </c>
      <c r="B337" t="s">
        <v>1223</v>
      </c>
      <c r="C337" t="s">
        <v>1228</v>
      </c>
      <c r="D337">
        <v>3447</v>
      </c>
      <c r="E337">
        <v>4</v>
      </c>
      <c r="F337" t="s">
        <v>1453</v>
      </c>
      <c r="G337" t="s">
        <v>1588</v>
      </c>
      <c r="H337" t="s">
        <v>1593</v>
      </c>
      <c r="I337">
        <v>13788</v>
      </c>
      <c r="J337">
        <v>91</v>
      </c>
      <c r="K337" t="s">
        <v>1596</v>
      </c>
      <c r="L337" t="s">
        <v>1599</v>
      </c>
      <c r="M337" t="str">
        <f>IF(Table1[[#This Row],[Quantity]]&gt;2,"Bulk Order","Normal Order")</f>
        <v>Bulk Order</v>
      </c>
      <c r="N337" t="str">
        <f>_xlfn.CONCAT(Table1[[#This Row],[Category]],"-",Table1[[#This Row],[City]])</f>
        <v>Electronics-Delhi</v>
      </c>
      <c r="O337" t="str">
        <f>LEFT(Table1[[#This Row],[Category]],3)</f>
        <v>Ele</v>
      </c>
      <c r="P337" s="2"/>
    </row>
    <row r="338" spans="1:16" x14ac:dyDescent="0.35">
      <c r="A338" t="s">
        <v>348</v>
      </c>
      <c r="B338" t="s">
        <v>1219</v>
      </c>
      <c r="C338" t="s">
        <v>1225</v>
      </c>
      <c r="D338">
        <v>1669</v>
      </c>
      <c r="E338">
        <v>4</v>
      </c>
      <c r="F338" t="s">
        <v>1322</v>
      </c>
      <c r="G338" t="s">
        <v>1587</v>
      </c>
      <c r="H338" t="s">
        <v>1590</v>
      </c>
      <c r="I338">
        <v>6676</v>
      </c>
      <c r="J338">
        <v>78</v>
      </c>
      <c r="K338" t="s">
        <v>1595</v>
      </c>
      <c r="L338" t="s">
        <v>1598</v>
      </c>
      <c r="M338" t="str">
        <f>IF(Table1[[#This Row],[Quantity]]&gt;2,"Bulk Order","Normal Order")</f>
        <v>Bulk Order</v>
      </c>
      <c r="N338" t="str">
        <f>_xlfn.CONCAT(Table1[[#This Row],[Category]],"-",Table1[[#This Row],[City]])</f>
        <v>Fitness-Mumbai</v>
      </c>
      <c r="O338" t="str">
        <f>LEFT(Table1[[#This Row],[Category]],3)</f>
        <v>Fit</v>
      </c>
      <c r="P338" s="2"/>
    </row>
    <row r="339" spans="1:16" x14ac:dyDescent="0.35">
      <c r="A339" t="s">
        <v>349</v>
      </c>
      <c r="B339" t="s">
        <v>1219</v>
      </c>
      <c r="C339" t="s">
        <v>1227</v>
      </c>
      <c r="D339">
        <v>3349</v>
      </c>
      <c r="E339">
        <v>3</v>
      </c>
      <c r="F339" t="s">
        <v>1454</v>
      </c>
      <c r="G339" t="s">
        <v>1584</v>
      </c>
      <c r="H339" t="s">
        <v>1590</v>
      </c>
      <c r="I339">
        <v>10047</v>
      </c>
      <c r="J339">
        <v>30</v>
      </c>
      <c r="K339" t="s">
        <v>1595</v>
      </c>
      <c r="L339" t="s">
        <v>1599</v>
      </c>
      <c r="M339" t="str">
        <f>IF(Table1[[#This Row],[Quantity]]&gt;2,"Bulk Order","Normal Order")</f>
        <v>Bulk Order</v>
      </c>
      <c r="N339" t="str">
        <f>_xlfn.CONCAT(Table1[[#This Row],[Category]],"-",Table1[[#This Row],[City]])</f>
        <v>Accessories-Chennai</v>
      </c>
      <c r="O339" t="str">
        <f>LEFT(Table1[[#This Row],[Category]],3)</f>
        <v>Acc</v>
      </c>
      <c r="P339" s="2"/>
    </row>
    <row r="340" spans="1:16" x14ac:dyDescent="0.35">
      <c r="A340" t="s">
        <v>350</v>
      </c>
      <c r="B340" t="s">
        <v>1222</v>
      </c>
      <c r="C340" t="s">
        <v>1227</v>
      </c>
      <c r="D340">
        <v>2954</v>
      </c>
      <c r="E340">
        <v>4</v>
      </c>
      <c r="F340" t="s">
        <v>1455</v>
      </c>
      <c r="G340" t="s">
        <v>1586</v>
      </c>
      <c r="H340" t="s">
        <v>1591</v>
      </c>
      <c r="I340">
        <v>11816</v>
      </c>
      <c r="J340">
        <v>92</v>
      </c>
      <c r="K340" t="s">
        <v>1595</v>
      </c>
      <c r="L340" t="s">
        <v>1598</v>
      </c>
      <c r="M340" t="str">
        <f>IF(Table1[[#This Row],[Quantity]]&gt;2,"Bulk Order","Normal Order")</f>
        <v>Bulk Order</v>
      </c>
      <c r="N340" t="str">
        <f>_xlfn.CONCAT(Table1[[#This Row],[Category]],"-",Table1[[#This Row],[City]])</f>
        <v>Accessories-Hyderabad</v>
      </c>
      <c r="O340" t="str">
        <f>LEFT(Table1[[#This Row],[Category]],3)</f>
        <v>Acc</v>
      </c>
      <c r="P340" s="2"/>
    </row>
    <row r="341" spans="1:16" x14ac:dyDescent="0.35">
      <c r="A341" t="s">
        <v>351</v>
      </c>
      <c r="B341" t="s">
        <v>1217</v>
      </c>
      <c r="C341" t="s">
        <v>1224</v>
      </c>
      <c r="D341">
        <v>3736</v>
      </c>
      <c r="E341">
        <v>1</v>
      </c>
      <c r="F341" t="s">
        <v>1273</v>
      </c>
      <c r="G341" t="s">
        <v>1588</v>
      </c>
      <c r="H341" t="s">
        <v>1591</v>
      </c>
      <c r="I341">
        <v>3736</v>
      </c>
      <c r="J341">
        <v>71</v>
      </c>
      <c r="K341" t="s">
        <v>1596</v>
      </c>
      <c r="L341" t="s">
        <v>1599</v>
      </c>
      <c r="M341" t="str">
        <f>IF(Table1[[#This Row],[Quantity]]&gt;2,"Bulk Order","Normal Order")</f>
        <v>Normal Order</v>
      </c>
      <c r="N341" t="str">
        <f>_xlfn.CONCAT(Table1[[#This Row],[Category]],"-",Table1[[#This Row],[City]])</f>
        <v>Lifestyle-Delhi</v>
      </c>
      <c r="O341" t="str">
        <f>LEFT(Table1[[#This Row],[Category]],3)</f>
        <v>Lif</v>
      </c>
      <c r="P341" s="2"/>
    </row>
    <row r="342" spans="1:16" x14ac:dyDescent="0.35">
      <c r="A342" t="s">
        <v>352</v>
      </c>
      <c r="B342" t="s">
        <v>1219</v>
      </c>
      <c r="C342" t="s">
        <v>1227</v>
      </c>
      <c r="D342">
        <v>3169</v>
      </c>
      <c r="E342">
        <v>1</v>
      </c>
      <c r="F342" t="s">
        <v>1298</v>
      </c>
      <c r="G342" t="s">
        <v>1587</v>
      </c>
      <c r="H342" t="s">
        <v>1592</v>
      </c>
      <c r="I342">
        <v>3169</v>
      </c>
      <c r="J342">
        <v>31</v>
      </c>
      <c r="K342" t="s">
        <v>1595</v>
      </c>
      <c r="L342" t="s">
        <v>1599</v>
      </c>
      <c r="M342" t="str">
        <f>IF(Table1[[#This Row],[Quantity]]&gt;2,"Bulk Order","Normal Order")</f>
        <v>Normal Order</v>
      </c>
      <c r="N342" t="str">
        <f>_xlfn.CONCAT(Table1[[#This Row],[Category]],"-",Table1[[#This Row],[City]])</f>
        <v>Accessories-Mumbai</v>
      </c>
      <c r="O342" t="str">
        <f>LEFT(Table1[[#This Row],[Category]],3)</f>
        <v>Acc</v>
      </c>
      <c r="P342" s="2"/>
    </row>
    <row r="343" spans="1:16" x14ac:dyDescent="0.35">
      <c r="A343" t="s">
        <v>353</v>
      </c>
      <c r="B343" t="s">
        <v>1212</v>
      </c>
      <c r="C343" t="s">
        <v>1228</v>
      </c>
      <c r="D343">
        <v>4079</v>
      </c>
      <c r="E343">
        <v>2</v>
      </c>
      <c r="F343" t="s">
        <v>1364</v>
      </c>
      <c r="G343" t="s">
        <v>1585</v>
      </c>
      <c r="H343" t="s">
        <v>1591</v>
      </c>
      <c r="I343">
        <v>8158</v>
      </c>
      <c r="J343">
        <v>30</v>
      </c>
      <c r="K343" t="s">
        <v>1596</v>
      </c>
      <c r="L343" t="s">
        <v>1597</v>
      </c>
      <c r="M343" t="str">
        <f>IF(Table1[[#This Row],[Quantity]]&gt;2,"Bulk Order","Normal Order")</f>
        <v>Normal Order</v>
      </c>
      <c r="N343" t="str">
        <f>_xlfn.CONCAT(Table1[[#This Row],[Category]],"-",Table1[[#This Row],[City]])</f>
        <v>Electronics-Kolkata</v>
      </c>
      <c r="O343" t="str">
        <f>LEFT(Table1[[#This Row],[Category]],3)</f>
        <v>Ele</v>
      </c>
      <c r="P343" s="2"/>
    </row>
    <row r="344" spans="1:16" x14ac:dyDescent="0.35">
      <c r="A344" t="s">
        <v>354</v>
      </c>
      <c r="B344" t="s">
        <v>1215</v>
      </c>
      <c r="C344" t="s">
        <v>1227</v>
      </c>
      <c r="D344">
        <v>2869</v>
      </c>
      <c r="E344">
        <v>2</v>
      </c>
      <c r="F344" t="s">
        <v>1456</v>
      </c>
      <c r="G344" t="s">
        <v>1589</v>
      </c>
      <c r="H344" t="s">
        <v>1592</v>
      </c>
      <c r="I344">
        <v>5738</v>
      </c>
      <c r="J344">
        <v>48</v>
      </c>
      <c r="K344" t="s">
        <v>1594</v>
      </c>
      <c r="L344" t="s">
        <v>1599</v>
      </c>
      <c r="M344" t="str">
        <f>IF(Table1[[#This Row],[Quantity]]&gt;2,"Bulk Order","Normal Order")</f>
        <v>Normal Order</v>
      </c>
      <c r="N344" t="str">
        <f>_xlfn.CONCAT(Table1[[#This Row],[Category]],"-",Table1[[#This Row],[City]])</f>
        <v>Accessories-Bangalore</v>
      </c>
      <c r="O344" t="str">
        <f>LEFT(Table1[[#This Row],[Category]],3)</f>
        <v>Acc</v>
      </c>
      <c r="P344" s="2"/>
    </row>
    <row r="345" spans="1:16" x14ac:dyDescent="0.35">
      <c r="A345" t="s">
        <v>355</v>
      </c>
      <c r="B345" t="s">
        <v>1223</v>
      </c>
      <c r="C345" t="s">
        <v>1228</v>
      </c>
      <c r="D345">
        <v>3300</v>
      </c>
      <c r="E345">
        <v>3</v>
      </c>
      <c r="F345" t="s">
        <v>1457</v>
      </c>
      <c r="G345" t="s">
        <v>1584</v>
      </c>
      <c r="H345" t="s">
        <v>1590</v>
      </c>
      <c r="I345">
        <v>9900</v>
      </c>
      <c r="J345">
        <v>91</v>
      </c>
      <c r="K345" t="s">
        <v>1595</v>
      </c>
      <c r="L345" t="s">
        <v>1599</v>
      </c>
      <c r="M345" t="str">
        <f>IF(Table1[[#This Row],[Quantity]]&gt;2,"Bulk Order","Normal Order")</f>
        <v>Bulk Order</v>
      </c>
      <c r="N345" t="str">
        <f>_xlfn.CONCAT(Table1[[#This Row],[Category]],"-",Table1[[#This Row],[City]])</f>
        <v>Electronics-Chennai</v>
      </c>
      <c r="O345" t="str">
        <f>LEFT(Table1[[#This Row],[Category]],3)</f>
        <v>Ele</v>
      </c>
      <c r="P345" s="2"/>
    </row>
    <row r="346" spans="1:16" x14ac:dyDescent="0.35">
      <c r="A346" t="s">
        <v>356</v>
      </c>
      <c r="B346" t="s">
        <v>1218</v>
      </c>
      <c r="C346" t="s">
        <v>1224</v>
      </c>
      <c r="D346">
        <v>2659</v>
      </c>
      <c r="E346">
        <v>1</v>
      </c>
      <c r="F346" t="s">
        <v>1458</v>
      </c>
      <c r="G346" t="s">
        <v>1588</v>
      </c>
      <c r="H346" t="s">
        <v>1592</v>
      </c>
      <c r="I346">
        <v>2659</v>
      </c>
      <c r="J346">
        <v>61</v>
      </c>
      <c r="K346" t="s">
        <v>1595</v>
      </c>
      <c r="L346" t="s">
        <v>1598</v>
      </c>
      <c r="M346" t="str">
        <f>IF(Table1[[#This Row],[Quantity]]&gt;2,"Bulk Order","Normal Order")</f>
        <v>Normal Order</v>
      </c>
      <c r="N346" t="str">
        <f>_xlfn.CONCAT(Table1[[#This Row],[Category]],"-",Table1[[#This Row],[City]])</f>
        <v>Lifestyle-Delhi</v>
      </c>
      <c r="O346" t="str">
        <f>LEFT(Table1[[#This Row],[Category]],3)</f>
        <v>Lif</v>
      </c>
      <c r="P346" s="2"/>
    </row>
    <row r="347" spans="1:16" x14ac:dyDescent="0.35">
      <c r="A347" t="s">
        <v>357</v>
      </c>
      <c r="B347" t="s">
        <v>1223</v>
      </c>
      <c r="C347" t="s">
        <v>1228</v>
      </c>
      <c r="D347">
        <v>3930</v>
      </c>
      <c r="E347">
        <v>3</v>
      </c>
      <c r="F347" t="s">
        <v>1459</v>
      </c>
      <c r="G347" t="s">
        <v>1587</v>
      </c>
      <c r="H347" t="s">
        <v>1593</v>
      </c>
      <c r="I347">
        <v>11790</v>
      </c>
      <c r="J347">
        <v>52</v>
      </c>
      <c r="K347" t="s">
        <v>1595</v>
      </c>
      <c r="L347" t="s">
        <v>1597</v>
      </c>
      <c r="M347" t="str">
        <f>IF(Table1[[#This Row],[Quantity]]&gt;2,"Bulk Order","Normal Order")</f>
        <v>Bulk Order</v>
      </c>
      <c r="N347" t="str">
        <f>_xlfn.CONCAT(Table1[[#This Row],[Category]],"-",Table1[[#This Row],[City]])</f>
        <v>Electronics-Mumbai</v>
      </c>
      <c r="O347" t="str">
        <f>LEFT(Table1[[#This Row],[Category]],3)</f>
        <v>Ele</v>
      </c>
      <c r="P347" s="2"/>
    </row>
    <row r="348" spans="1:16" x14ac:dyDescent="0.35">
      <c r="A348" t="s">
        <v>358</v>
      </c>
      <c r="B348" t="s">
        <v>1214</v>
      </c>
      <c r="C348" t="s">
        <v>1227</v>
      </c>
      <c r="D348">
        <v>4840</v>
      </c>
      <c r="E348">
        <v>1</v>
      </c>
      <c r="F348" t="s">
        <v>1326</v>
      </c>
      <c r="G348" t="s">
        <v>1589</v>
      </c>
      <c r="H348" t="s">
        <v>1592</v>
      </c>
      <c r="I348">
        <v>4840</v>
      </c>
      <c r="J348">
        <v>59</v>
      </c>
      <c r="K348" t="s">
        <v>1595</v>
      </c>
      <c r="L348" t="s">
        <v>1597</v>
      </c>
      <c r="M348" t="str">
        <f>IF(Table1[[#This Row],[Quantity]]&gt;2,"Bulk Order","Normal Order")</f>
        <v>Normal Order</v>
      </c>
      <c r="N348" t="str">
        <f>_xlfn.CONCAT(Table1[[#This Row],[Category]],"-",Table1[[#This Row],[City]])</f>
        <v>Accessories-Bangalore</v>
      </c>
      <c r="O348" t="str">
        <f>LEFT(Table1[[#This Row],[Category]],3)</f>
        <v>Acc</v>
      </c>
      <c r="P348" s="2"/>
    </row>
    <row r="349" spans="1:16" x14ac:dyDescent="0.35">
      <c r="A349" t="s">
        <v>359</v>
      </c>
      <c r="B349" t="s">
        <v>1213</v>
      </c>
      <c r="C349" t="s">
        <v>1225</v>
      </c>
      <c r="D349">
        <v>4643</v>
      </c>
      <c r="E349">
        <v>3</v>
      </c>
      <c r="F349" t="s">
        <v>1460</v>
      </c>
      <c r="G349" t="s">
        <v>1585</v>
      </c>
      <c r="H349" t="s">
        <v>1592</v>
      </c>
      <c r="I349">
        <v>13929</v>
      </c>
      <c r="J349">
        <v>60</v>
      </c>
      <c r="K349" t="s">
        <v>1594</v>
      </c>
      <c r="L349" t="s">
        <v>1597</v>
      </c>
      <c r="M349" t="str">
        <f>IF(Table1[[#This Row],[Quantity]]&gt;2,"Bulk Order","Normal Order")</f>
        <v>Bulk Order</v>
      </c>
      <c r="N349" t="str">
        <f>_xlfn.CONCAT(Table1[[#This Row],[Category]],"-",Table1[[#This Row],[City]])</f>
        <v>Fitness-Kolkata</v>
      </c>
      <c r="O349" t="str">
        <f>LEFT(Table1[[#This Row],[Category]],3)</f>
        <v>Fit</v>
      </c>
      <c r="P349" s="2"/>
    </row>
    <row r="350" spans="1:16" x14ac:dyDescent="0.35">
      <c r="A350" t="s">
        <v>360</v>
      </c>
      <c r="B350" t="s">
        <v>1214</v>
      </c>
      <c r="C350" t="s">
        <v>1225</v>
      </c>
      <c r="D350">
        <v>3331</v>
      </c>
      <c r="E350">
        <v>1</v>
      </c>
      <c r="F350" t="s">
        <v>1281</v>
      </c>
      <c r="G350" t="s">
        <v>1589</v>
      </c>
      <c r="H350" t="s">
        <v>1591</v>
      </c>
      <c r="I350">
        <v>3331</v>
      </c>
      <c r="J350">
        <v>61</v>
      </c>
      <c r="K350" t="s">
        <v>1595</v>
      </c>
      <c r="L350" t="s">
        <v>1599</v>
      </c>
      <c r="M350" t="str">
        <f>IF(Table1[[#This Row],[Quantity]]&gt;2,"Bulk Order","Normal Order")</f>
        <v>Normal Order</v>
      </c>
      <c r="N350" t="str">
        <f>_xlfn.CONCAT(Table1[[#This Row],[Category]],"-",Table1[[#This Row],[City]])</f>
        <v>Fitness-Bangalore</v>
      </c>
      <c r="O350" t="str">
        <f>LEFT(Table1[[#This Row],[Category]],3)</f>
        <v>Fit</v>
      </c>
      <c r="P350" s="2"/>
    </row>
    <row r="351" spans="1:16" x14ac:dyDescent="0.35">
      <c r="A351" t="s">
        <v>361</v>
      </c>
      <c r="B351" t="s">
        <v>1213</v>
      </c>
      <c r="C351" t="s">
        <v>1226</v>
      </c>
      <c r="D351">
        <v>1904</v>
      </c>
      <c r="E351">
        <v>2</v>
      </c>
      <c r="F351" t="s">
        <v>1429</v>
      </c>
      <c r="G351" t="s">
        <v>1589</v>
      </c>
      <c r="H351" t="s">
        <v>1591</v>
      </c>
      <c r="I351">
        <v>3808</v>
      </c>
      <c r="J351">
        <v>50</v>
      </c>
      <c r="K351" t="s">
        <v>1595</v>
      </c>
      <c r="L351" t="s">
        <v>1597</v>
      </c>
      <c r="M351" t="str">
        <f>IF(Table1[[#This Row],[Quantity]]&gt;2,"Bulk Order","Normal Order")</f>
        <v>Normal Order</v>
      </c>
      <c r="N351" t="str">
        <f>_xlfn.CONCAT(Table1[[#This Row],[Category]],"-",Table1[[#This Row],[City]])</f>
        <v>Home-Bangalore</v>
      </c>
      <c r="O351" t="str">
        <f>LEFT(Table1[[#This Row],[Category]],3)</f>
        <v>Hom</v>
      </c>
      <c r="P351" s="2"/>
    </row>
    <row r="352" spans="1:16" x14ac:dyDescent="0.35">
      <c r="A352" t="s">
        <v>362</v>
      </c>
      <c r="B352" t="s">
        <v>1221</v>
      </c>
      <c r="C352" t="s">
        <v>1228</v>
      </c>
      <c r="D352">
        <v>2758</v>
      </c>
      <c r="E352">
        <v>3</v>
      </c>
      <c r="F352" t="s">
        <v>1461</v>
      </c>
      <c r="G352" t="s">
        <v>1585</v>
      </c>
      <c r="H352" t="s">
        <v>1591</v>
      </c>
      <c r="I352">
        <v>8274</v>
      </c>
      <c r="J352">
        <v>77</v>
      </c>
      <c r="K352" t="s">
        <v>1594</v>
      </c>
      <c r="L352" t="s">
        <v>1599</v>
      </c>
      <c r="M352" t="str">
        <f>IF(Table1[[#This Row],[Quantity]]&gt;2,"Bulk Order","Normal Order")</f>
        <v>Bulk Order</v>
      </c>
      <c r="N352" t="str">
        <f>_xlfn.CONCAT(Table1[[#This Row],[Category]],"-",Table1[[#This Row],[City]])</f>
        <v>Electronics-Kolkata</v>
      </c>
      <c r="O352" t="str">
        <f>LEFT(Table1[[#This Row],[Category]],3)</f>
        <v>Ele</v>
      </c>
      <c r="P352" s="2"/>
    </row>
    <row r="353" spans="1:16" x14ac:dyDescent="0.35">
      <c r="A353" t="s">
        <v>363</v>
      </c>
      <c r="B353" t="s">
        <v>1222</v>
      </c>
      <c r="C353" t="s">
        <v>1228</v>
      </c>
      <c r="D353">
        <v>295</v>
      </c>
      <c r="E353">
        <v>4</v>
      </c>
      <c r="F353" t="s">
        <v>1298</v>
      </c>
      <c r="G353" t="s">
        <v>1584</v>
      </c>
      <c r="H353" t="s">
        <v>1592</v>
      </c>
      <c r="I353">
        <v>1180</v>
      </c>
      <c r="J353">
        <v>72</v>
      </c>
      <c r="K353" t="s">
        <v>1595</v>
      </c>
      <c r="L353" t="s">
        <v>1597</v>
      </c>
      <c r="M353" t="str">
        <f>IF(Table1[[#This Row],[Quantity]]&gt;2,"Bulk Order","Normal Order")</f>
        <v>Bulk Order</v>
      </c>
      <c r="N353" t="str">
        <f>_xlfn.CONCAT(Table1[[#This Row],[Category]],"-",Table1[[#This Row],[City]])</f>
        <v>Electronics-Chennai</v>
      </c>
      <c r="O353" t="str">
        <f>LEFT(Table1[[#This Row],[Category]],3)</f>
        <v>Ele</v>
      </c>
      <c r="P353" s="2"/>
    </row>
    <row r="354" spans="1:16" x14ac:dyDescent="0.35">
      <c r="A354" t="s">
        <v>364</v>
      </c>
      <c r="B354" t="s">
        <v>1223</v>
      </c>
      <c r="C354" t="s">
        <v>1228</v>
      </c>
      <c r="D354">
        <v>3482</v>
      </c>
      <c r="E354">
        <v>3</v>
      </c>
      <c r="F354" t="s">
        <v>1381</v>
      </c>
      <c r="G354" t="s">
        <v>1589</v>
      </c>
      <c r="H354" t="s">
        <v>1592</v>
      </c>
      <c r="I354">
        <v>10446</v>
      </c>
      <c r="J354">
        <v>52</v>
      </c>
      <c r="K354" t="s">
        <v>1595</v>
      </c>
      <c r="L354" t="s">
        <v>1599</v>
      </c>
      <c r="M354" t="str">
        <f>IF(Table1[[#This Row],[Quantity]]&gt;2,"Bulk Order","Normal Order")</f>
        <v>Bulk Order</v>
      </c>
      <c r="N354" t="str">
        <f>_xlfn.CONCAT(Table1[[#This Row],[Category]],"-",Table1[[#This Row],[City]])</f>
        <v>Electronics-Bangalore</v>
      </c>
      <c r="O354" t="str">
        <f>LEFT(Table1[[#This Row],[Category]],3)</f>
        <v>Ele</v>
      </c>
      <c r="P354" s="2"/>
    </row>
    <row r="355" spans="1:16" x14ac:dyDescent="0.35">
      <c r="A355" t="s">
        <v>365</v>
      </c>
      <c r="B355" t="s">
        <v>1214</v>
      </c>
      <c r="C355" t="s">
        <v>1225</v>
      </c>
      <c r="D355">
        <v>4935</v>
      </c>
      <c r="E355">
        <v>3</v>
      </c>
      <c r="F355" t="s">
        <v>1462</v>
      </c>
      <c r="G355" t="s">
        <v>1586</v>
      </c>
      <c r="H355" t="s">
        <v>1592</v>
      </c>
      <c r="I355">
        <v>14805</v>
      </c>
      <c r="J355">
        <v>34</v>
      </c>
      <c r="K355" t="s">
        <v>1595</v>
      </c>
      <c r="L355" t="s">
        <v>1598</v>
      </c>
      <c r="M355" t="str">
        <f>IF(Table1[[#This Row],[Quantity]]&gt;2,"Bulk Order","Normal Order")</f>
        <v>Bulk Order</v>
      </c>
      <c r="N355" t="str">
        <f>_xlfn.CONCAT(Table1[[#This Row],[Category]],"-",Table1[[#This Row],[City]])</f>
        <v>Fitness-Hyderabad</v>
      </c>
      <c r="O355" t="str">
        <f>LEFT(Table1[[#This Row],[Category]],3)</f>
        <v>Fit</v>
      </c>
      <c r="P355" s="2"/>
    </row>
    <row r="356" spans="1:16" x14ac:dyDescent="0.35">
      <c r="A356" t="s">
        <v>366</v>
      </c>
      <c r="B356" t="s">
        <v>1216</v>
      </c>
      <c r="C356" t="s">
        <v>1226</v>
      </c>
      <c r="D356">
        <v>1398</v>
      </c>
      <c r="E356">
        <v>3</v>
      </c>
      <c r="F356" t="s">
        <v>1463</v>
      </c>
      <c r="G356" t="s">
        <v>1587</v>
      </c>
      <c r="H356" t="s">
        <v>1590</v>
      </c>
      <c r="I356">
        <v>4194</v>
      </c>
      <c r="J356">
        <v>41</v>
      </c>
      <c r="K356" t="s">
        <v>1595</v>
      </c>
      <c r="L356" t="s">
        <v>1599</v>
      </c>
      <c r="M356" t="str">
        <f>IF(Table1[[#This Row],[Quantity]]&gt;2,"Bulk Order","Normal Order")</f>
        <v>Bulk Order</v>
      </c>
      <c r="N356" t="str">
        <f>_xlfn.CONCAT(Table1[[#This Row],[Category]],"-",Table1[[#This Row],[City]])</f>
        <v>Home-Mumbai</v>
      </c>
      <c r="O356" t="str">
        <f>LEFT(Table1[[#This Row],[Category]],3)</f>
        <v>Hom</v>
      </c>
      <c r="P356" s="2"/>
    </row>
    <row r="357" spans="1:16" x14ac:dyDescent="0.35">
      <c r="A357" t="s">
        <v>367</v>
      </c>
      <c r="B357" t="s">
        <v>1215</v>
      </c>
      <c r="C357" t="s">
        <v>1227</v>
      </c>
      <c r="D357">
        <v>3811</v>
      </c>
      <c r="E357">
        <v>3</v>
      </c>
      <c r="F357" t="s">
        <v>1410</v>
      </c>
      <c r="G357" t="s">
        <v>1584</v>
      </c>
      <c r="H357" t="s">
        <v>1593</v>
      </c>
      <c r="I357">
        <v>11433</v>
      </c>
      <c r="J357">
        <v>76</v>
      </c>
      <c r="K357" t="s">
        <v>1594</v>
      </c>
      <c r="L357" t="s">
        <v>1599</v>
      </c>
      <c r="M357" t="str">
        <f>IF(Table1[[#This Row],[Quantity]]&gt;2,"Bulk Order","Normal Order")</f>
        <v>Bulk Order</v>
      </c>
      <c r="N357" t="str">
        <f>_xlfn.CONCAT(Table1[[#This Row],[Category]],"-",Table1[[#This Row],[City]])</f>
        <v>Accessories-Chennai</v>
      </c>
      <c r="O357" t="str">
        <f>LEFT(Table1[[#This Row],[Category]],3)</f>
        <v>Acc</v>
      </c>
      <c r="P357" s="2"/>
    </row>
    <row r="358" spans="1:16" x14ac:dyDescent="0.35">
      <c r="A358" t="s">
        <v>368</v>
      </c>
      <c r="B358" t="s">
        <v>1219</v>
      </c>
      <c r="C358" t="s">
        <v>1227</v>
      </c>
      <c r="D358">
        <v>3345</v>
      </c>
      <c r="E358">
        <v>2</v>
      </c>
      <c r="F358" t="s">
        <v>1371</v>
      </c>
      <c r="G358" t="s">
        <v>1589</v>
      </c>
      <c r="H358" t="s">
        <v>1591</v>
      </c>
      <c r="I358">
        <v>6690</v>
      </c>
      <c r="J358">
        <v>49</v>
      </c>
      <c r="K358" t="s">
        <v>1595</v>
      </c>
      <c r="L358" t="s">
        <v>1598</v>
      </c>
      <c r="M358" t="str">
        <f>IF(Table1[[#This Row],[Quantity]]&gt;2,"Bulk Order","Normal Order")</f>
        <v>Normal Order</v>
      </c>
      <c r="N358" t="str">
        <f>_xlfn.CONCAT(Table1[[#This Row],[Category]],"-",Table1[[#This Row],[City]])</f>
        <v>Accessories-Bangalore</v>
      </c>
      <c r="O358" t="str">
        <f>LEFT(Table1[[#This Row],[Category]],3)</f>
        <v>Acc</v>
      </c>
      <c r="P358" s="2"/>
    </row>
    <row r="359" spans="1:16" x14ac:dyDescent="0.35">
      <c r="A359" t="s">
        <v>369</v>
      </c>
      <c r="B359" t="s">
        <v>1214</v>
      </c>
      <c r="C359" t="s">
        <v>1227</v>
      </c>
      <c r="D359">
        <v>3219</v>
      </c>
      <c r="E359">
        <v>4</v>
      </c>
      <c r="F359" t="s">
        <v>1421</v>
      </c>
      <c r="G359" t="s">
        <v>1588</v>
      </c>
      <c r="H359" t="s">
        <v>1590</v>
      </c>
      <c r="I359">
        <v>12876</v>
      </c>
      <c r="J359">
        <v>73</v>
      </c>
      <c r="K359" t="s">
        <v>1596</v>
      </c>
      <c r="L359" t="s">
        <v>1598</v>
      </c>
      <c r="M359" t="str">
        <f>IF(Table1[[#This Row],[Quantity]]&gt;2,"Bulk Order","Normal Order")</f>
        <v>Bulk Order</v>
      </c>
      <c r="N359" t="str">
        <f>_xlfn.CONCAT(Table1[[#This Row],[Category]],"-",Table1[[#This Row],[City]])</f>
        <v>Accessories-Delhi</v>
      </c>
      <c r="O359" t="str">
        <f>LEFT(Table1[[#This Row],[Category]],3)</f>
        <v>Acc</v>
      </c>
      <c r="P359" s="2"/>
    </row>
    <row r="360" spans="1:16" x14ac:dyDescent="0.35">
      <c r="A360" t="s">
        <v>370</v>
      </c>
      <c r="B360" t="s">
        <v>1215</v>
      </c>
      <c r="C360" t="s">
        <v>1227</v>
      </c>
      <c r="D360">
        <v>4542</v>
      </c>
      <c r="E360">
        <v>1</v>
      </c>
      <c r="F360" t="s">
        <v>1237</v>
      </c>
      <c r="G360" t="s">
        <v>1588</v>
      </c>
      <c r="H360" t="s">
        <v>1593</v>
      </c>
      <c r="I360">
        <v>4542</v>
      </c>
      <c r="J360">
        <v>84</v>
      </c>
      <c r="K360" t="s">
        <v>1596</v>
      </c>
      <c r="L360" t="s">
        <v>1599</v>
      </c>
      <c r="M360" t="str">
        <f>IF(Table1[[#This Row],[Quantity]]&gt;2,"Bulk Order","Normal Order")</f>
        <v>Normal Order</v>
      </c>
      <c r="N360" t="str">
        <f>_xlfn.CONCAT(Table1[[#This Row],[Category]],"-",Table1[[#This Row],[City]])</f>
        <v>Accessories-Delhi</v>
      </c>
      <c r="O360" t="str">
        <f>LEFT(Table1[[#This Row],[Category]],3)</f>
        <v>Acc</v>
      </c>
      <c r="P360" s="2"/>
    </row>
    <row r="361" spans="1:16" x14ac:dyDescent="0.35">
      <c r="A361" t="s">
        <v>371</v>
      </c>
      <c r="B361" t="s">
        <v>1219</v>
      </c>
      <c r="C361" t="s">
        <v>1224</v>
      </c>
      <c r="D361">
        <v>1415</v>
      </c>
      <c r="E361">
        <v>2</v>
      </c>
      <c r="F361" t="s">
        <v>1464</v>
      </c>
      <c r="G361" t="s">
        <v>1584</v>
      </c>
      <c r="H361" t="s">
        <v>1591</v>
      </c>
      <c r="I361">
        <v>2830</v>
      </c>
      <c r="J361">
        <v>33</v>
      </c>
      <c r="K361" t="s">
        <v>1595</v>
      </c>
      <c r="L361" t="s">
        <v>1599</v>
      </c>
      <c r="M361" t="str">
        <f>IF(Table1[[#This Row],[Quantity]]&gt;2,"Bulk Order","Normal Order")</f>
        <v>Normal Order</v>
      </c>
      <c r="N361" t="str">
        <f>_xlfn.CONCAT(Table1[[#This Row],[Category]],"-",Table1[[#This Row],[City]])</f>
        <v>Lifestyle-Chennai</v>
      </c>
      <c r="O361" t="str">
        <f>LEFT(Table1[[#This Row],[Category]],3)</f>
        <v>Lif</v>
      </c>
      <c r="P361" s="2"/>
    </row>
    <row r="362" spans="1:16" x14ac:dyDescent="0.35">
      <c r="A362" t="s">
        <v>372</v>
      </c>
      <c r="B362" t="s">
        <v>1222</v>
      </c>
      <c r="C362" t="s">
        <v>1224</v>
      </c>
      <c r="D362">
        <v>347</v>
      </c>
      <c r="E362">
        <v>1</v>
      </c>
      <c r="F362" t="s">
        <v>1465</v>
      </c>
      <c r="G362" t="s">
        <v>1589</v>
      </c>
      <c r="H362" t="s">
        <v>1590</v>
      </c>
      <c r="I362">
        <v>347</v>
      </c>
      <c r="J362">
        <v>26</v>
      </c>
      <c r="K362" t="s">
        <v>1595</v>
      </c>
      <c r="L362" t="s">
        <v>1599</v>
      </c>
      <c r="M362" t="str">
        <f>IF(Table1[[#This Row],[Quantity]]&gt;2,"Bulk Order","Normal Order")</f>
        <v>Normal Order</v>
      </c>
      <c r="N362" t="str">
        <f>_xlfn.CONCAT(Table1[[#This Row],[Category]],"-",Table1[[#This Row],[City]])</f>
        <v>Lifestyle-Bangalore</v>
      </c>
      <c r="O362" t="str">
        <f>LEFT(Table1[[#This Row],[Category]],3)</f>
        <v>Lif</v>
      </c>
      <c r="P362" s="2"/>
    </row>
    <row r="363" spans="1:16" x14ac:dyDescent="0.35">
      <c r="A363" t="s">
        <v>373</v>
      </c>
      <c r="B363" t="s">
        <v>1222</v>
      </c>
      <c r="C363" t="s">
        <v>1224</v>
      </c>
      <c r="D363">
        <v>3379</v>
      </c>
      <c r="E363">
        <v>4</v>
      </c>
      <c r="F363" t="s">
        <v>1243</v>
      </c>
      <c r="G363" t="s">
        <v>1584</v>
      </c>
      <c r="H363" t="s">
        <v>1592</v>
      </c>
      <c r="I363">
        <v>13516</v>
      </c>
      <c r="J363">
        <v>57</v>
      </c>
      <c r="K363" t="s">
        <v>1595</v>
      </c>
      <c r="L363" t="s">
        <v>1598</v>
      </c>
      <c r="M363" t="str">
        <f>IF(Table1[[#This Row],[Quantity]]&gt;2,"Bulk Order","Normal Order")</f>
        <v>Bulk Order</v>
      </c>
      <c r="N363" t="str">
        <f>_xlfn.CONCAT(Table1[[#This Row],[Category]],"-",Table1[[#This Row],[City]])</f>
        <v>Lifestyle-Chennai</v>
      </c>
      <c r="O363" t="str">
        <f>LEFT(Table1[[#This Row],[Category]],3)</f>
        <v>Lif</v>
      </c>
      <c r="P363" s="2"/>
    </row>
    <row r="364" spans="1:16" x14ac:dyDescent="0.35">
      <c r="A364" t="s">
        <v>374</v>
      </c>
      <c r="B364" t="s">
        <v>1222</v>
      </c>
      <c r="C364" t="s">
        <v>1227</v>
      </c>
      <c r="D364">
        <v>3375</v>
      </c>
      <c r="E364">
        <v>3</v>
      </c>
      <c r="F364" t="s">
        <v>1284</v>
      </c>
      <c r="G364" t="s">
        <v>1588</v>
      </c>
      <c r="H364" t="s">
        <v>1590</v>
      </c>
      <c r="I364">
        <v>10125</v>
      </c>
      <c r="J364">
        <v>84</v>
      </c>
      <c r="K364" t="s">
        <v>1595</v>
      </c>
      <c r="L364" t="s">
        <v>1599</v>
      </c>
      <c r="M364" t="str">
        <f>IF(Table1[[#This Row],[Quantity]]&gt;2,"Bulk Order","Normal Order")</f>
        <v>Bulk Order</v>
      </c>
      <c r="N364" t="str">
        <f>_xlfn.CONCAT(Table1[[#This Row],[Category]],"-",Table1[[#This Row],[City]])</f>
        <v>Accessories-Delhi</v>
      </c>
      <c r="O364" t="str">
        <f>LEFT(Table1[[#This Row],[Category]],3)</f>
        <v>Acc</v>
      </c>
      <c r="P364" s="2"/>
    </row>
    <row r="365" spans="1:16" x14ac:dyDescent="0.35">
      <c r="A365" t="s">
        <v>375</v>
      </c>
      <c r="B365" t="s">
        <v>1216</v>
      </c>
      <c r="C365" t="s">
        <v>1226</v>
      </c>
      <c r="D365">
        <v>2246</v>
      </c>
      <c r="E365">
        <v>3</v>
      </c>
      <c r="F365" t="s">
        <v>1291</v>
      </c>
      <c r="G365" t="s">
        <v>1587</v>
      </c>
      <c r="H365" t="s">
        <v>1592</v>
      </c>
      <c r="I365">
        <v>6738</v>
      </c>
      <c r="J365">
        <v>33</v>
      </c>
      <c r="K365" t="s">
        <v>1595</v>
      </c>
      <c r="L365" t="s">
        <v>1599</v>
      </c>
      <c r="M365" t="str">
        <f>IF(Table1[[#This Row],[Quantity]]&gt;2,"Bulk Order","Normal Order")</f>
        <v>Bulk Order</v>
      </c>
      <c r="N365" t="str">
        <f>_xlfn.CONCAT(Table1[[#This Row],[Category]],"-",Table1[[#This Row],[City]])</f>
        <v>Home-Mumbai</v>
      </c>
      <c r="O365" t="str">
        <f>LEFT(Table1[[#This Row],[Category]],3)</f>
        <v>Hom</v>
      </c>
      <c r="P365" s="2"/>
    </row>
    <row r="366" spans="1:16" x14ac:dyDescent="0.35">
      <c r="A366" t="s">
        <v>376</v>
      </c>
      <c r="B366" t="s">
        <v>1212</v>
      </c>
      <c r="C366" t="s">
        <v>1226</v>
      </c>
      <c r="D366">
        <v>1885</v>
      </c>
      <c r="E366">
        <v>3</v>
      </c>
      <c r="F366" t="s">
        <v>1466</v>
      </c>
      <c r="G366" t="s">
        <v>1587</v>
      </c>
      <c r="H366" t="s">
        <v>1590</v>
      </c>
      <c r="I366">
        <v>5655</v>
      </c>
      <c r="J366">
        <v>24</v>
      </c>
      <c r="K366" t="s">
        <v>1595</v>
      </c>
      <c r="L366" t="s">
        <v>1599</v>
      </c>
      <c r="M366" t="str">
        <f>IF(Table1[[#This Row],[Quantity]]&gt;2,"Bulk Order","Normal Order")</f>
        <v>Bulk Order</v>
      </c>
      <c r="N366" t="str">
        <f>_xlfn.CONCAT(Table1[[#This Row],[Category]],"-",Table1[[#This Row],[City]])</f>
        <v>Home-Mumbai</v>
      </c>
      <c r="O366" t="str">
        <f>LEFT(Table1[[#This Row],[Category]],3)</f>
        <v>Hom</v>
      </c>
      <c r="P366" s="2"/>
    </row>
    <row r="367" spans="1:16" x14ac:dyDescent="0.35">
      <c r="A367" t="s">
        <v>377</v>
      </c>
      <c r="B367" t="s">
        <v>1217</v>
      </c>
      <c r="C367" t="s">
        <v>1224</v>
      </c>
      <c r="D367">
        <v>4932</v>
      </c>
      <c r="E367">
        <v>2</v>
      </c>
      <c r="F367" t="s">
        <v>1375</v>
      </c>
      <c r="G367" t="s">
        <v>1584</v>
      </c>
      <c r="H367" t="s">
        <v>1591</v>
      </c>
      <c r="I367">
        <v>9864</v>
      </c>
      <c r="J367">
        <v>68</v>
      </c>
      <c r="K367" t="s">
        <v>1595</v>
      </c>
      <c r="L367" t="s">
        <v>1599</v>
      </c>
      <c r="M367" t="str">
        <f>IF(Table1[[#This Row],[Quantity]]&gt;2,"Bulk Order","Normal Order")</f>
        <v>Normal Order</v>
      </c>
      <c r="N367" t="str">
        <f>_xlfn.CONCAT(Table1[[#This Row],[Category]],"-",Table1[[#This Row],[City]])</f>
        <v>Lifestyle-Chennai</v>
      </c>
      <c r="O367" t="str">
        <f>LEFT(Table1[[#This Row],[Category]],3)</f>
        <v>Lif</v>
      </c>
      <c r="P367" s="2"/>
    </row>
    <row r="368" spans="1:16" x14ac:dyDescent="0.35">
      <c r="A368" t="s">
        <v>378</v>
      </c>
      <c r="B368" t="s">
        <v>1216</v>
      </c>
      <c r="C368" t="s">
        <v>1227</v>
      </c>
      <c r="D368">
        <v>2300</v>
      </c>
      <c r="E368">
        <v>2</v>
      </c>
      <c r="F368" t="s">
        <v>1399</v>
      </c>
      <c r="G368" t="s">
        <v>1584</v>
      </c>
      <c r="H368" t="s">
        <v>1591</v>
      </c>
      <c r="I368">
        <v>4600</v>
      </c>
      <c r="J368">
        <v>49</v>
      </c>
      <c r="K368" t="s">
        <v>1595</v>
      </c>
      <c r="L368" t="s">
        <v>1597</v>
      </c>
      <c r="M368" t="str">
        <f>IF(Table1[[#This Row],[Quantity]]&gt;2,"Bulk Order","Normal Order")</f>
        <v>Normal Order</v>
      </c>
      <c r="N368" t="str">
        <f>_xlfn.CONCAT(Table1[[#This Row],[Category]],"-",Table1[[#This Row],[City]])</f>
        <v>Accessories-Chennai</v>
      </c>
      <c r="O368" t="str">
        <f>LEFT(Table1[[#This Row],[Category]],3)</f>
        <v>Acc</v>
      </c>
      <c r="P368" s="2"/>
    </row>
    <row r="369" spans="1:16" x14ac:dyDescent="0.35">
      <c r="A369" t="s">
        <v>379</v>
      </c>
      <c r="B369" t="s">
        <v>1221</v>
      </c>
      <c r="C369" t="s">
        <v>1224</v>
      </c>
      <c r="D369">
        <v>1233</v>
      </c>
      <c r="E369">
        <v>1</v>
      </c>
      <c r="F369" t="s">
        <v>1467</v>
      </c>
      <c r="G369" t="s">
        <v>1584</v>
      </c>
      <c r="H369" t="s">
        <v>1593</v>
      </c>
      <c r="I369">
        <v>1233</v>
      </c>
      <c r="J369">
        <v>98</v>
      </c>
      <c r="K369" t="s">
        <v>1594</v>
      </c>
      <c r="L369" t="s">
        <v>1598</v>
      </c>
      <c r="M369" t="str">
        <f>IF(Table1[[#This Row],[Quantity]]&gt;2,"Bulk Order","Normal Order")</f>
        <v>Normal Order</v>
      </c>
      <c r="N369" t="str">
        <f>_xlfn.CONCAT(Table1[[#This Row],[Category]],"-",Table1[[#This Row],[City]])</f>
        <v>Lifestyle-Chennai</v>
      </c>
      <c r="O369" t="str">
        <f>LEFT(Table1[[#This Row],[Category]],3)</f>
        <v>Lif</v>
      </c>
      <c r="P369" s="2"/>
    </row>
    <row r="370" spans="1:16" x14ac:dyDescent="0.35">
      <c r="A370" t="s">
        <v>380</v>
      </c>
      <c r="B370" t="s">
        <v>1223</v>
      </c>
      <c r="C370" t="s">
        <v>1225</v>
      </c>
      <c r="D370">
        <v>2886</v>
      </c>
      <c r="E370">
        <v>4</v>
      </c>
      <c r="F370" t="s">
        <v>1468</v>
      </c>
      <c r="G370" t="s">
        <v>1584</v>
      </c>
      <c r="H370" t="s">
        <v>1591</v>
      </c>
      <c r="I370">
        <v>11544</v>
      </c>
      <c r="J370">
        <v>62</v>
      </c>
      <c r="K370" t="s">
        <v>1596</v>
      </c>
      <c r="L370" t="s">
        <v>1599</v>
      </c>
      <c r="M370" t="str">
        <f>IF(Table1[[#This Row],[Quantity]]&gt;2,"Bulk Order","Normal Order")</f>
        <v>Bulk Order</v>
      </c>
      <c r="N370" t="str">
        <f>_xlfn.CONCAT(Table1[[#This Row],[Category]],"-",Table1[[#This Row],[City]])</f>
        <v>Fitness-Chennai</v>
      </c>
      <c r="O370" t="str">
        <f>LEFT(Table1[[#This Row],[Category]],3)</f>
        <v>Fit</v>
      </c>
      <c r="P370" s="2"/>
    </row>
    <row r="371" spans="1:16" x14ac:dyDescent="0.35">
      <c r="A371" t="s">
        <v>381</v>
      </c>
      <c r="B371" t="s">
        <v>1219</v>
      </c>
      <c r="C371" t="s">
        <v>1227</v>
      </c>
      <c r="D371">
        <v>3147</v>
      </c>
      <c r="E371">
        <v>1</v>
      </c>
      <c r="F371" t="s">
        <v>1306</v>
      </c>
      <c r="G371" t="s">
        <v>1587</v>
      </c>
      <c r="H371" t="s">
        <v>1593</v>
      </c>
      <c r="I371">
        <v>3147</v>
      </c>
      <c r="J371">
        <v>30</v>
      </c>
      <c r="K371" t="s">
        <v>1596</v>
      </c>
      <c r="L371" t="s">
        <v>1598</v>
      </c>
      <c r="M371" t="str">
        <f>IF(Table1[[#This Row],[Quantity]]&gt;2,"Bulk Order","Normal Order")</f>
        <v>Normal Order</v>
      </c>
      <c r="N371" t="str">
        <f>_xlfn.CONCAT(Table1[[#This Row],[Category]],"-",Table1[[#This Row],[City]])</f>
        <v>Accessories-Mumbai</v>
      </c>
      <c r="O371" t="str">
        <f>LEFT(Table1[[#This Row],[Category]],3)</f>
        <v>Acc</v>
      </c>
      <c r="P371" s="2"/>
    </row>
    <row r="372" spans="1:16" x14ac:dyDescent="0.35">
      <c r="A372" t="s">
        <v>382</v>
      </c>
      <c r="B372" t="s">
        <v>1213</v>
      </c>
      <c r="C372" t="s">
        <v>1228</v>
      </c>
      <c r="D372">
        <v>3104</v>
      </c>
      <c r="E372">
        <v>2</v>
      </c>
      <c r="F372" t="s">
        <v>1469</v>
      </c>
      <c r="G372" t="s">
        <v>1588</v>
      </c>
      <c r="H372" t="s">
        <v>1591</v>
      </c>
      <c r="I372">
        <v>6208</v>
      </c>
      <c r="J372">
        <v>73</v>
      </c>
      <c r="K372" t="s">
        <v>1595</v>
      </c>
      <c r="L372" t="s">
        <v>1599</v>
      </c>
      <c r="M372" t="str">
        <f>IF(Table1[[#This Row],[Quantity]]&gt;2,"Bulk Order","Normal Order")</f>
        <v>Normal Order</v>
      </c>
      <c r="N372" t="str">
        <f>_xlfn.CONCAT(Table1[[#This Row],[Category]],"-",Table1[[#This Row],[City]])</f>
        <v>Electronics-Delhi</v>
      </c>
      <c r="O372" t="str">
        <f>LEFT(Table1[[#This Row],[Category]],3)</f>
        <v>Ele</v>
      </c>
      <c r="P372" s="2"/>
    </row>
    <row r="373" spans="1:16" x14ac:dyDescent="0.35">
      <c r="A373" t="s">
        <v>383</v>
      </c>
      <c r="B373" t="s">
        <v>1222</v>
      </c>
      <c r="C373" t="s">
        <v>1228</v>
      </c>
      <c r="D373">
        <v>1593</v>
      </c>
      <c r="E373">
        <v>3</v>
      </c>
      <c r="F373" t="s">
        <v>1274</v>
      </c>
      <c r="G373" t="s">
        <v>1584</v>
      </c>
      <c r="H373" t="s">
        <v>1593</v>
      </c>
      <c r="I373">
        <v>4779</v>
      </c>
      <c r="J373">
        <v>81</v>
      </c>
      <c r="K373" t="s">
        <v>1595</v>
      </c>
      <c r="L373" t="s">
        <v>1597</v>
      </c>
      <c r="M373" t="str">
        <f>IF(Table1[[#This Row],[Quantity]]&gt;2,"Bulk Order","Normal Order")</f>
        <v>Bulk Order</v>
      </c>
      <c r="N373" t="str">
        <f>_xlfn.CONCAT(Table1[[#This Row],[Category]],"-",Table1[[#This Row],[City]])</f>
        <v>Electronics-Chennai</v>
      </c>
      <c r="O373" t="str">
        <f>LEFT(Table1[[#This Row],[Category]],3)</f>
        <v>Ele</v>
      </c>
      <c r="P373" s="2"/>
    </row>
    <row r="374" spans="1:16" x14ac:dyDescent="0.35">
      <c r="A374" t="s">
        <v>384</v>
      </c>
      <c r="B374" t="s">
        <v>1220</v>
      </c>
      <c r="C374" t="s">
        <v>1225</v>
      </c>
      <c r="D374">
        <v>593</v>
      </c>
      <c r="E374">
        <v>2</v>
      </c>
      <c r="F374" t="s">
        <v>1382</v>
      </c>
      <c r="G374" t="s">
        <v>1584</v>
      </c>
      <c r="H374" t="s">
        <v>1592</v>
      </c>
      <c r="I374">
        <v>1186</v>
      </c>
      <c r="J374">
        <v>93</v>
      </c>
      <c r="K374" t="s">
        <v>1595</v>
      </c>
      <c r="L374" t="s">
        <v>1598</v>
      </c>
      <c r="M374" t="str">
        <f>IF(Table1[[#This Row],[Quantity]]&gt;2,"Bulk Order","Normal Order")</f>
        <v>Normal Order</v>
      </c>
      <c r="N374" t="str">
        <f>_xlfn.CONCAT(Table1[[#This Row],[Category]],"-",Table1[[#This Row],[City]])</f>
        <v>Fitness-Chennai</v>
      </c>
      <c r="O374" t="str">
        <f>LEFT(Table1[[#This Row],[Category]],3)</f>
        <v>Fit</v>
      </c>
      <c r="P374" s="2"/>
    </row>
    <row r="375" spans="1:16" x14ac:dyDescent="0.35">
      <c r="A375" t="s">
        <v>385</v>
      </c>
      <c r="B375" t="s">
        <v>1219</v>
      </c>
      <c r="C375" t="s">
        <v>1226</v>
      </c>
      <c r="D375">
        <v>1059</v>
      </c>
      <c r="E375">
        <v>3</v>
      </c>
      <c r="F375" t="s">
        <v>1319</v>
      </c>
      <c r="G375" t="s">
        <v>1588</v>
      </c>
      <c r="H375" t="s">
        <v>1593</v>
      </c>
      <c r="I375">
        <v>3177</v>
      </c>
      <c r="J375">
        <v>99</v>
      </c>
      <c r="K375" t="s">
        <v>1595</v>
      </c>
      <c r="L375" t="s">
        <v>1599</v>
      </c>
      <c r="M375" t="str">
        <f>IF(Table1[[#This Row],[Quantity]]&gt;2,"Bulk Order","Normal Order")</f>
        <v>Bulk Order</v>
      </c>
      <c r="N375" t="str">
        <f>_xlfn.CONCAT(Table1[[#This Row],[Category]],"-",Table1[[#This Row],[City]])</f>
        <v>Home-Delhi</v>
      </c>
      <c r="O375" t="str">
        <f>LEFT(Table1[[#This Row],[Category]],3)</f>
        <v>Hom</v>
      </c>
      <c r="P375" s="2"/>
    </row>
    <row r="376" spans="1:16" x14ac:dyDescent="0.35">
      <c r="A376" t="s">
        <v>386</v>
      </c>
      <c r="B376" t="s">
        <v>1216</v>
      </c>
      <c r="C376" t="s">
        <v>1228</v>
      </c>
      <c r="D376">
        <v>2441</v>
      </c>
      <c r="E376">
        <v>2</v>
      </c>
      <c r="F376" t="s">
        <v>1438</v>
      </c>
      <c r="G376" t="s">
        <v>1586</v>
      </c>
      <c r="H376" t="s">
        <v>1590</v>
      </c>
      <c r="I376">
        <v>4882</v>
      </c>
      <c r="J376">
        <v>100</v>
      </c>
      <c r="K376" t="s">
        <v>1594</v>
      </c>
      <c r="L376" t="s">
        <v>1599</v>
      </c>
      <c r="M376" t="str">
        <f>IF(Table1[[#This Row],[Quantity]]&gt;2,"Bulk Order","Normal Order")</f>
        <v>Normal Order</v>
      </c>
      <c r="N376" t="str">
        <f>_xlfn.CONCAT(Table1[[#This Row],[Category]],"-",Table1[[#This Row],[City]])</f>
        <v>Electronics-Hyderabad</v>
      </c>
      <c r="O376" t="str">
        <f>LEFT(Table1[[#This Row],[Category]],3)</f>
        <v>Ele</v>
      </c>
      <c r="P376" s="2"/>
    </row>
    <row r="377" spans="1:16" x14ac:dyDescent="0.35">
      <c r="A377" t="s">
        <v>387</v>
      </c>
      <c r="B377" t="s">
        <v>1217</v>
      </c>
      <c r="C377" t="s">
        <v>1226</v>
      </c>
      <c r="D377">
        <v>4660</v>
      </c>
      <c r="E377">
        <v>2</v>
      </c>
      <c r="F377" t="s">
        <v>1367</v>
      </c>
      <c r="G377" t="s">
        <v>1589</v>
      </c>
      <c r="H377" t="s">
        <v>1592</v>
      </c>
      <c r="I377">
        <v>9320</v>
      </c>
      <c r="J377">
        <v>28</v>
      </c>
      <c r="K377" t="s">
        <v>1595</v>
      </c>
      <c r="L377" t="s">
        <v>1597</v>
      </c>
      <c r="M377" t="str">
        <f>IF(Table1[[#This Row],[Quantity]]&gt;2,"Bulk Order","Normal Order")</f>
        <v>Normal Order</v>
      </c>
      <c r="N377" t="str">
        <f>_xlfn.CONCAT(Table1[[#This Row],[Category]],"-",Table1[[#This Row],[City]])</f>
        <v>Home-Bangalore</v>
      </c>
      <c r="O377" t="str">
        <f>LEFT(Table1[[#This Row],[Category]],3)</f>
        <v>Hom</v>
      </c>
      <c r="P377" s="2"/>
    </row>
    <row r="378" spans="1:16" x14ac:dyDescent="0.35">
      <c r="A378" t="s">
        <v>388</v>
      </c>
      <c r="B378" t="s">
        <v>1220</v>
      </c>
      <c r="C378" t="s">
        <v>1224</v>
      </c>
      <c r="D378">
        <v>4787</v>
      </c>
      <c r="E378">
        <v>3</v>
      </c>
      <c r="F378" t="s">
        <v>1470</v>
      </c>
      <c r="G378" t="s">
        <v>1588</v>
      </c>
      <c r="H378" t="s">
        <v>1590</v>
      </c>
      <c r="I378">
        <v>14361</v>
      </c>
      <c r="J378">
        <v>41</v>
      </c>
      <c r="K378" t="s">
        <v>1595</v>
      </c>
      <c r="L378" t="s">
        <v>1599</v>
      </c>
      <c r="M378" t="str">
        <f>IF(Table1[[#This Row],[Quantity]]&gt;2,"Bulk Order","Normal Order")</f>
        <v>Bulk Order</v>
      </c>
      <c r="N378" t="str">
        <f>_xlfn.CONCAT(Table1[[#This Row],[Category]],"-",Table1[[#This Row],[City]])</f>
        <v>Lifestyle-Delhi</v>
      </c>
      <c r="O378" t="str">
        <f>LEFT(Table1[[#This Row],[Category]],3)</f>
        <v>Lif</v>
      </c>
      <c r="P378" s="2"/>
    </row>
    <row r="379" spans="1:16" x14ac:dyDescent="0.35">
      <c r="A379" t="s">
        <v>389</v>
      </c>
      <c r="B379" t="s">
        <v>1214</v>
      </c>
      <c r="C379" t="s">
        <v>1227</v>
      </c>
      <c r="D379">
        <v>647</v>
      </c>
      <c r="E379">
        <v>2</v>
      </c>
      <c r="F379" t="s">
        <v>1266</v>
      </c>
      <c r="G379" t="s">
        <v>1589</v>
      </c>
      <c r="H379" t="s">
        <v>1591</v>
      </c>
      <c r="I379">
        <v>1294</v>
      </c>
      <c r="J379">
        <v>34</v>
      </c>
      <c r="K379" t="s">
        <v>1594</v>
      </c>
      <c r="L379" t="s">
        <v>1599</v>
      </c>
      <c r="M379" t="str">
        <f>IF(Table1[[#This Row],[Quantity]]&gt;2,"Bulk Order","Normal Order")</f>
        <v>Normal Order</v>
      </c>
      <c r="N379" t="str">
        <f>_xlfn.CONCAT(Table1[[#This Row],[Category]],"-",Table1[[#This Row],[City]])</f>
        <v>Accessories-Bangalore</v>
      </c>
      <c r="O379" t="str">
        <f>LEFT(Table1[[#This Row],[Category]],3)</f>
        <v>Acc</v>
      </c>
      <c r="P379" s="2"/>
    </row>
    <row r="380" spans="1:16" x14ac:dyDescent="0.35">
      <c r="A380" t="s">
        <v>390</v>
      </c>
      <c r="B380" t="s">
        <v>1213</v>
      </c>
      <c r="C380" t="s">
        <v>1226</v>
      </c>
      <c r="D380">
        <v>2722</v>
      </c>
      <c r="E380">
        <v>3</v>
      </c>
      <c r="F380" t="s">
        <v>1374</v>
      </c>
      <c r="G380" t="s">
        <v>1588</v>
      </c>
      <c r="H380" t="s">
        <v>1592</v>
      </c>
      <c r="I380">
        <v>8166</v>
      </c>
      <c r="J380">
        <v>44</v>
      </c>
      <c r="K380" t="s">
        <v>1595</v>
      </c>
      <c r="L380" t="s">
        <v>1599</v>
      </c>
      <c r="M380" t="str">
        <f>IF(Table1[[#This Row],[Quantity]]&gt;2,"Bulk Order","Normal Order")</f>
        <v>Bulk Order</v>
      </c>
      <c r="N380" t="str">
        <f>_xlfn.CONCAT(Table1[[#This Row],[Category]],"-",Table1[[#This Row],[City]])</f>
        <v>Home-Delhi</v>
      </c>
      <c r="O380" t="str">
        <f>LEFT(Table1[[#This Row],[Category]],3)</f>
        <v>Hom</v>
      </c>
      <c r="P380" s="2"/>
    </row>
    <row r="381" spans="1:16" x14ac:dyDescent="0.35">
      <c r="A381" t="s">
        <v>391</v>
      </c>
      <c r="B381" t="s">
        <v>1223</v>
      </c>
      <c r="C381" t="s">
        <v>1228</v>
      </c>
      <c r="D381">
        <v>3896</v>
      </c>
      <c r="E381">
        <v>1</v>
      </c>
      <c r="F381" t="s">
        <v>1333</v>
      </c>
      <c r="G381" t="s">
        <v>1586</v>
      </c>
      <c r="H381" t="s">
        <v>1590</v>
      </c>
      <c r="I381">
        <v>3896</v>
      </c>
      <c r="J381">
        <v>60</v>
      </c>
      <c r="K381" t="s">
        <v>1595</v>
      </c>
      <c r="L381" t="s">
        <v>1597</v>
      </c>
      <c r="M381" t="str">
        <f>IF(Table1[[#This Row],[Quantity]]&gt;2,"Bulk Order","Normal Order")</f>
        <v>Normal Order</v>
      </c>
      <c r="N381" t="str">
        <f>_xlfn.CONCAT(Table1[[#This Row],[Category]],"-",Table1[[#This Row],[City]])</f>
        <v>Electronics-Hyderabad</v>
      </c>
      <c r="O381" t="str">
        <f>LEFT(Table1[[#This Row],[Category]],3)</f>
        <v>Ele</v>
      </c>
      <c r="P381" s="2"/>
    </row>
    <row r="382" spans="1:16" x14ac:dyDescent="0.35">
      <c r="A382" t="s">
        <v>392</v>
      </c>
      <c r="B382" t="s">
        <v>1212</v>
      </c>
      <c r="C382" t="s">
        <v>1225</v>
      </c>
      <c r="D382">
        <v>3652</v>
      </c>
      <c r="E382">
        <v>2</v>
      </c>
      <c r="F382" t="s">
        <v>1357</v>
      </c>
      <c r="G382" t="s">
        <v>1585</v>
      </c>
      <c r="H382" t="s">
        <v>1591</v>
      </c>
      <c r="I382">
        <v>7304</v>
      </c>
      <c r="J382">
        <v>87</v>
      </c>
      <c r="K382" t="s">
        <v>1595</v>
      </c>
      <c r="L382" t="s">
        <v>1599</v>
      </c>
      <c r="M382" t="str">
        <f>IF(Table1[[#This Row],[Quantity]]&gt;2,"Bulk Order","Normal Order")</f>
        <v>Normal Order</v>
      </c>
      <c r="N382" t="str">
        <f>_xlfn.CONCAT(Table1[[#This Row],[Category]],"-",Table1[[#This Row],[City]])</f>
        <v>Fitness-Kolkata</v>
      </c>
      <c r="O382" t="str">
        <f>LEFT(Table1[[#This Row],[Category]],3)</f>
        <v>Fit</v>
      </c>
      <c r="P382" s="2"/>
    </row>
    <row r="383" spans="1:16" x14ac:dyDescent="0.35">
      <c r="A383" t="s">
        <v>393</v>
      </c>
      <c r="B383" t="s">
        <v>1218</v>
      </c>
      <c r="C383" t="s">
        <v>1224</v>
      </c>
      <c r="D383">
        <v>3634</v>
      </c>
      <c r="E383">
        <v>3</v>
      </c>
      <c r="F383" t="s">
        <v>1327</v>
      </c>
      <c r="G383" t="s">
        <v>1588</v>
      </c>
      <c r="H383" t="s">
        <v>1592</v>
      </c>
      <c r="I383">
        <v>10902</v>
      </c>
      <c r="J383">
        <v>26</v>
      </c>
      <c r="K383" t="s">
        <v>1596</v>
      </c>
      <c r="L383" t="s">
        <v>1598</v>
      </c>
      <c r="M383" t="str">
        <f>IF(Table1[[#This Row],[Quantity]]&gt;2,"Bulk Order","Normal Order")</f>
        <v>Bulk Order</v>
      </c>
      <c r="N383" t="str">
        <f>_xlfn.CONCAT(Table1[[#This Row],[Category]],"-",Table1[[#This Row],[City]])</f>
        <v>Lifestyle-Delhi</v>
      </c>
      <c r="O383" t="str">
        <f>LEFT(Table1[[#This Row],[Category]],3)</f>
        <v>Lif</v>
      </c>
      <c r="P383" s="2"/>
    </row>
    <row r="384" spans="1:16" x14ac:dyDescent="0.35">
      <c r="A384" t="s">
        <v>394</v>
      </c>
      <c r="B384" t="s">
        <v>1216</v>
      </c>
      <c r="C384" t="s">
        <v>1228</v>
      </c>
      <c r="D384">
        <v>4540</v>
      </c>
      <c r="E384">
        <v>2</v>
      </c>
      <c r="F384" t="s">
        <v>1273</v>
      </c>
      <c r="G384" t="s">
        <v>1588</v>
      </c>
      <c r="H384" t="s">
        <v>1591</v>
      </c>
      <c r="I384">
        <v>9080</v>
      </c>
      <c r="J384">
        <v>27</v>
      </c>
      <c r="K384" t="s">
        <v>1595</v>
      </c>
      <c r="L384" t="s">
        <v>1597</v>
      </c>
      <c r="M384" t="str">
        <f>IF(Table1[[#This Row],[Quantity]]&gt;2,"Bulk Order","Normal Order")</f>
        <v>Normal Order</v>
      </c>
      <c r="N384" t="str">
        <f>_xlfn.CONCAT(Table1[[#This Row],[Category]],"-",Table1[[#This Row],[City]])</f>
        <v>Electronics-Delhi</v>
      </c>
      <c r="O384" t="str">
        <f>LEFT(Table1[[#This Row],[Category]],3)</f>
        <v>Ele</v>
      </c>
      <c r="P384" s="2"/>
    </row>
    <row r="385" spans="1:16" x14ac:dyDescent="0.35">
      <c r="A385" t="s">
        <v>395</v>
      </c>
      <c r="B385" t="s">
        <v>1219</v>
      </c>
      <c r="C385" t="s">
        <v>1224</v>
      </c>
      <c r="D385">
        <v>1780</v>
      </c>
      <c r="E385">
        <v>3</v>
      </c>
      <c r="F385" t="s">
        <v>1471</v>
      </c>
      <c r="G385" t="s">
        <v>1584</v>
      </c>
      <c r="H385" t="s">
        <v>1592</v>
      </c>
      <c r="I385">
        <v>5340</v>
      </c>
      <c r="J385">
        <v>96</v>
      </c>
      <c r="K385" t="s">
        <v>1595</v>
      </c>
      <c r="L385" t="s">
        <v>1598</v>
      </c>
      <c r="M385" t="str">
        <f>IF(Table1[[#This Row],[Quantity]]&gt;2,"Bulk Order","Normal Order")</f>
        <v>Bulk Order</v>
      </c>
      <c r="N385" t="str">
        <f>_xlfn.CONCAT(Table1[[#This Row],[Category]],"-",Table1[[#This Row],[City]])</f>
        <v>Lifestyle-Chennai</v>
      </c>
      <c r="O385" t="str">
        <f>LEFT(Table1[[#This Row],[Category]],3)</f>
        <v>Lif</v>
      </c>
      <c r="P385" s="2"/>
    </row>
    <row r="386" spans="1:16" x14ac:dyDescent="0.35">
      <c r="A386" t="s">
        <v>396</v>
      </c>
      <c r="B386" t="s">
        <v>1223</v>
      </c>
      <c r="C386" t="s">
        <v>1224</v>
      </c>
      <c r="D386">
        <v>3754</v>
      </c>
      <c r="E386">
        <v>2</v>
      </c>
      <c r="F386" t="s">
        <v>1391</v>
      </c>
      <c r="G386" t="s">
        <v>1584</v>
      </c>
      <c r="H386" t="s">
        <v>1592</v>
      </c>
      <c r="I386">
        <v>7508</v>
      </c>
      <c r="J386">
        <v>29</v>
      </c>
      <c r="K386" t="s">
        <v>1595</v>
      </c>
      <c r="L386" t="s">
        <v>1598</v>
      </c>
      <c r="M386" t="str">
        <f>IF(Table1[[#This Row],[Quantity]]&gt;2,"Bulk Order","Normal Order")</f>
        <v>Normal Order</v>
      </c>
      <c r="N386" t="str">
        <f>_xlfn.CONCAT(Table1[[#This Row],[Category]],"-",Table1[[#This Row],[City]])</f>
        <v>Lifestyle-Chennai</v>
      </c>
      <c r="O386" t="str">
        <f>LEFT(Table1[[#This Row],[Category]],3)</f>
        <v>Lif</v>
      </c>
      <c r="P386" s="2"/>
    </row>
    <row r="387" spans="1:16" x14ac:dyDescent="0.35">
      <c r="A387" t="s">
        <v>397</v>
      </c>
      <c r="B387" t="s">
        <v>1212</v>
      </c>
      <c r="C387" t="s">
        <v>1224</v>
      </c>
      <c r="D387">
        <v>4696</v>
      </c>
      <c r="E387">
        <v>1</v>
      </c>
      <c r="F387" t="s">
        <v>1305</v>
      </c>
      <c r="G387" t="s">
        <v>1584</v>
      </c>
      <c r="H387" t="s">
        <v>1590</v>
      </c>
      <c r="I387">
        <v>4696</v>
      </c>
      <c r="J387">
        <v>95</v>
      </c>
      <c r="K387" t="s">
        <v>1595</v>
      </c>
      <c r="L387" t="s">
        <v>1598</v>
      </c>
      <c r="M387" t="str">
        <f>IF(Table1[[#This Row],[Quantity]]&gt;2,"Bulk Order","Normal Order")</f>
        <v>Normal Order</v>
      </c>
      <c r="N387" t="str">
        <f>_xlfn.CONCAT(Table1[[#This Row],[Category]],"-",Table1[[#This Row],[City]])</f>
        <v>Lifestyle-Chennai</v>
      </c>
      <c r="O387" t="str">
        <f>LEFT(Table1[[#This Row],[Category]],3)</f>
        <v>Lif</v>
      </c>
      <c r="P387" s="2"/>
    </row>
    <row r="388" spans="1:16" x14ac:dyDescent="0.35">
      <c r="A388" t="s">
        <v>398</v>
      </c>
      <c r="B388" t="s">
        <v>1212</v>
      </c>
      <c r="C388" t="s">
        <v>1227</v>
      </c>
      <c r="D388">
        <v>3872</v>
      </c>
      <c r="E388">
        <v>2</v>
      </c>
      <c r="F388" t="s">
        <v>1472</v>
      </c>
      <c r="G388" t="s">
        <v>1587</v>
      </c>
      <c r="H388" t="s">
        <v>1593</v>
      </c>
      <c r="I388">
        <v>7744</v>
      </c>
      <c r="J388">
        <v>56</v>
      </c>
      <c r="K388" t="s">
        <v>1594</v>
      </c>
      <c r="L388" t="s">
        <v>1598</v>
      </c>
      <c r="M388" t="str">
        <f>IF(Table1[[#This Row],[Quantity]]&gt;2,"Bulk Order","Normal Order")</f>
        <v>Normal Order</v>
      </c>
      <c r="N388" t="str">
        <f>_xlfn.CONCAT(Table1[[#This Row],[Category]],"-",Table1[[#This Row],[City]])</f>
        <v>Accessories-Mumbai</v>
      </c>
      <c r="O388" t="str">
        <f>LEFT(Table1[[#This Row],[Category]],3)</f>
        <v>Acc</v>
      </c>
      <c r="P388" s="2"/>
    </row>
    <row r="389" spans="1:16" x14ac:dyDescent="0.35">
      <c r="A389" t="s">
        <v>399</v>
      </c>
      <c r="B389" t="s">
        <v>1219</v>
      </c>
      <c r="C389" t="s">
        <v>1225</v>
      </c>
      <c r="D389">
        <v>4582</v>
      </c>
      <c r="E389">
        <v>3</v>
      </c>
      <c r="F389" t="s">
        <v>1473</v>
      </c>
      <c r="G389" t="s">
        <v>1586</v>
      </c>
      <c r="H389" t="s">
        <v>1590</v>
      </c>
      <c r="I389">
        <v>13746</v>
      </c>
      <c r="J389">
        <v>23</v>
      </c>
      <c r="K389" t="s">
        <v>1595</v>
      </c>
      <c r="L389" t="s">
        <v>1599</v>
      </c>
      <c r="M389" t="str">
        <f>IF(Table1[[#This Row],[Quantity]]&gt;2,"Bulk Order","Normal Order")</f>
        <v>Bulk Order</v>
      </c>
      <c r="N389" t="str">
        <f>_xlfn.CONCAT(Table1[[#This Row],[Category]],"-",Table1[[#This Row],[City]])</f>
        <v>Fitness-Hyderabad</v>
      </c>
      <c r="O389" t="str">
        <f>LEFT(Table1[[#This Row],[Category]],3)</f>
        <v>Fit</v>
      </c>
      <c r="P389" s="2"/>
    </row>
    <row r="390" spans="1:16" x14ac:dyDescent="0.35">
      <c r="A390" t="s">
        <v>400</v>
      </c>
      <c r="B390" t="s">
        <v>1221</v>
      </c>
      <c r="C390" t="s">
        <v>1226</v>
      </c>
      <c r="D390">
        <v>2247</v>
      </c>
      <c r="E390">
        <v>4</v>
      </c>
      <c r="F390" t="s">
        <v>1383</v>
      </c>
      <c r="G390" t="s">
        <v>1585</v>
      </c>
      <c r="H390" t="s">
        <v>1591</v>
      </c>
      <c r="I390">
        <v>8988</v>
      </c>
      <c r="J390">
        <v>29</v>
      </c>
      <c r="K390" t="s">
        <v>1595</v>
      </c>
      <c r="L390" t="s">
        <v>1598</v>
      </c>
      <c r="M390" t="str">
        <f>IF(Table1[[#This Row],[Quantity]]&gt;2,"Bulk Order","Normal Order")</f>
        <v>Bulk Order</v>
      </c>
      <c r="N390" t="str">
        <f>_xlfn.CONCAT(Table1[[#This Row],[Category]],"-",Table1[[#This Row],[City]])</f>
        <v>Home-Kolkata</v>
      </c>
      <c r="O390" t="str">
        <f>LEFT(Table1[[#This Row],[Category]],3)</f>
        <v>Hom</v>
      </c>
      <c r="P390" s="2"/>
    </row>
    <row r="391" spans="1:16" x14ac:dyDescent="0.35">
      <c r="A391" t="s">
        <v>401</v>
      </c>
      <c r="B391" t="s">
        <v>1216</v>
      </c>
      <c r="C391" t="s">
        <v>1228</v>
      </c>
      <c r="D391">
        <v>4949</v>
      </c>
      <c r="E391">
        <v>1</v>
      </c>
      <c r="F391" t="s">
        <v>1352</v>
      </c>
      <c r="G391" t="s">
        <v>1587</v>
      </c>
      <c r="H391" t="s">
        <v>1593</v>
      </c>
      <c r="I391">
        <v>4949</v>
      </c>
      <c r="J391">
        <v>55</v>
      </c>
      <c r="K391" t="s">
        <v>1595</v>
      </c>
      <c r="L391" t="s">
        <v>1599</v>
      </c>
      <c r="M391" t="str">
        <f>IF(Table1[[#This Row],[Quantity]]&gt;2,"Bulk Order","Normal Order")</f>
        <v>Normal Order</v>
      </c>
      <c r="N391" t="str">
        <f>_xlfn.CONCAT(Table1[[#This Row],[Category]],"-",Table1[[#This Row],[City]])</f>
        <v>Electronics-Mumbai</v>
      </c>
      <c r="O391" t="str">
        <f>LEFT(Table1[[#This Row],[Category]],3)</f>
        <v>Ele</v>
      </c>
      <c r="P391" s="2"/>
    </row>
    <row r="392" spans="1:16" x14ac:dyDescent="0.35">
      <c r="A392" t="s">
        <v>402</v>
      </c>
      <c r="B392" t="s">
        <v>1212</v>
      </c>
      <c r="C392" t="s">
        <v>1225</v>
      </c>
      <c r="D392">
        <v>4774</v>
      </c>
      <c r="E392">
        <v>2</v>
      </c>
      <c r="F392" t="s">
        <v>1474</v>
      </c>
      <c r="G392" t="s">
        <v>1585</v>
      </c>
      <c r="H392" t="s">
        <v>1591</v>
      </c>
      <c r="I392">
        <v>9548</v>
      </c>
      <c r="J392">
        <v>96</v>
      </c>
      <c r="K392" t="s">
        <v>1595</v>
      </c>
      <c r="L392" t="s">
        <v>1599</v>
      </c>
      <c r="M392" t="str">
        <f>IF(Table1[[#This Row],[Quantity]]&gt;2,"Bulk Order","Normal Order")</f>
        <v>Normal Order</v>
      </c>
      <c r="N392" t="str">
        <f>_xlfn.CONCAT(Table1[[#This Row],[Category]],"-",Table1[[#This Row],[City]])</f>
        <v>Fitness-Kolkata</v>
      </c>
      <c r="O392" t="str">
        <f>LEFT(Table1[[#This Row],[Category]],3)</f>
        <v>Fit</v>
      </c>
      <c r="P392" s="2"/>
    </row>
    <row r="393" spans="1:16" x14ac:dyDescent="0.35">
      <c r="A393" t="s">
        <v>403</v>
      </c>
      <c r="B393" t="s">
        <v>1212</v>
      </c>
      <c r="C393" t="s">
        <v>1226</v>
      </c>
      <c r="D393">
        <v>1293</v>
      </c>
      <c r="E393">
        <v>4</v>
      </c>
      <c r="F393" t="s">
        <v>1475</v>
      </c>
      <c r="G393" t="s">
        <v>1585</v>
      </c>
      <c r="H393" t="s">
        <v>1592</v>
      </c>
      <c r="I393">
        <v>5172</v>
      </c>
      <c r="J393">
        <v>34</v>
      </c>
      <c r="K393" t="s">
        <v>1595</v>
      </c>
      <c r="L393" t="s">
        <v>1599</v>
      </c>
      <c r="M393" t="str">
        <f>IF(Table1[[#This Row],[Quantity]]&gt;2,"Bulk Order","Normal Order")</f>
        <v>Bulk Order</v>
      </c>
      <c r="N393" t="str">
        <f>_xlfn.CONCAT(Table1[[#This Row],[Category]],"-",Table1[[#This Row],[City]])</f>
        <v>Home-Kolkata</v>
      </c>
      <c r="O393" t="str">
        <f>LEFT(Table1[[#This Row],[Category]],3)</f>
        <v>Hom</v>
      </c>
      <c r="P393" s="2"/>
    </row>
    <row r="394" spans="1:16" x14ac:dyDescent="0.35">
      <c r="A394" t="s">
        <v>404</v>
      </c>
      <c r="B394" t="s">
        <v>1221</v>
      </c>
      <c r="C394" t="s">
        <v>1227</v>
      </c>
      <c r="D394">
        <v>4836</v>
      </c>
      <c r="E394">
        <v>4</v>
      </c>
      <c r="F394" t="s">
        <v>1476</v>
      </c>
      <c r="G394" t="s">
        <v>1585</v>
      </c>
      <c r="H394" t="s">
        <v>1591</v>
      </c>
      <c r="I394">
        <v>19344</v>
      </c>
      <c r="J394">
        <v>79</v>
      </c>
      <c r="K394" t="s">
        <v>1596</v>
      </c>
      <c r="L394" t="s">
        <v>1599</v>
      </c>
      <c r="M394" t="str">
        <f>IF(Table1[[#This Row],[Quantity]]&gt;2,"Bulk Order","Normal Order")</f>
        <v>Bulk Order</v>
      </c>
      <c r="N394" t="str">
        <f>_xlfn.CONCAT(Table1[[#This Row],[Category]],"-",Table1[[#This Row],[City]])</f>
        <v>Accessories-Kolkata</v>
      </c>
      <c r="O394" t="str">
        <f>LEFT(Table1[[#This Row],[Category]],3)</f>
        <v>Acc</v>
      </c>
      <c r="P394" s="2"/>
    </row>
    <row r="395" spans="1:16" x14ac:dyDescent="0.35">
      <c r="A395" t="s">
        <v>405</v>
      </c>
      <c r="B395" t="s">
        <v>1219</v>
      </c>
      <c r="C395" t="s">
        <v>1226</v>
      </c>
      <c r="D395">
        <v>4331</v>
      </c>
      <c r="E395">
        <v>1</v>
      </c>
      <c r="F395" t="s">
        <v>1307</v>
      </c>
      <c r="G395" t="s">
        <v>1588</v>
      </c>
      <c r="H395" t="s">
        <v>1593</v>
      </c>
      <c r="I395">
        <v>4331</v>
      </c>
      <c r="J395">
        <v>71</v>
      </c>
      <c r="K395" t="s">
        <v>1595</v>
      </c>
      <c r="L395" t="s">
        <v>1597</v>
      </c>
      <c r="M395" t="str">
        <f>IF(Table1[[#This Row],[Quantity]]&gt;2,"Bulk Order","Normal Order")</f>
        <v>Normal Order</v>
      </c>
      <c r="N395" t="str">
        <f>_xlfn.CONCAT(Table1[[#This Row],[Category]],"-",Table1[[#This Row],[City]])</f>
        <v>Home-Delhi</v>
      </c>
      <c r="O395" t="str">
        <f>LEFT(Table1[[#This Row],[Category]],3)</f>
        <v>Hom</v>
      </c>
      <c r="P395" s="2"/>
    </row>
    <row r="396" spans="1:16" x14ac:dyDescent="0.35">
      <c r="A396" t="s">
        <v>406</v>
      </c>
      <c r="B396" t="s">
        <v>1212</v>
      </c>
      <c r="C396" t="s">
        <v>1226</v>
      </c>
      <c r="D396">
        <v>4215</v>
      </c>
      <c r="E396">
        <v>2</v>
      </c>
      <c r="F396" t="s">
        <v>1458</v>
      </c>
      <c r="G396" t="s">
        <v>1586</v>
      </c>
      <c r="H396" t="s">
        <v>1590</v>
      </c>
      <c r="I396">
        <v>8430</v>
      </c>
      <c r="J396">
        <v>23</v>
      </c>
      <c r="K396" t="s">
        <v>1596</v>
      </c>
      <c r="L396" t="s">
        <v>1598</v>
      </c>
      <c r="M396" t="str">
        <f>IF(Table1[[#This Row],[Quantity]]&gt;2,"Bulk Order","Normal Order")</f>
        <v>Normal Order</v>
      </c>
      <c r="N396" t="str">
        <f>_xlfn.CONCAT(Table1[[#This Row],[Category]],"-",Table1[[#This Row],[City]])</f>
        <v>Home-Hyderabad</v>
      </c>
      <c r="O396" t="str">
        <f>LEFT(Table1[[#This Row],[Category]],3)</f>
        <v>Hom</v>
      </c>
      <c r="P396" s="2"/>
    </row>
    <row r="397" spans="1:16" x14ac:dyDescent="0.35">
      <c r="A397" t="s">
        <v>407</v>
      </c>
      <c r="B397" t="s">
        <v>1214</v>
      </c>
      <c r="C397" t="s">
        <v>1227</v>
      </c>
      <c r="D397">
        <v>4852</v>
      </c>
      <c r="E397">
        <v>2</v>
      </c>
      <c r="F397" t="s">
        <v>1477</v>
      </c>
      <c r="G397" t="s">
        <v>1587</v>
      </c>
      <c r="H397" t="s">
        <v>1593</v>
      </c>
      <c r="I397">
        <v>9704</v>
      </c>
      <c r="J397">
        <v>87</v>
      </c>
      <c r="K397" t="s">
        <v>1596</v>
      </c>
      <c r="L397" t="s">
        <v>1598</v>
      </c>
      <c r="M397" t="str">
        <f>IF(Table1[[#This Row],[Quantity]]&gt;2,"Bulk Order","Normal Order")</f>
        <v>Normal Order</v>
      </c>
      <c r="N397" t="str">
        <f>_xlfn.CONCAT(Table1[[#This Row],[Category]],"-",Table1[[#This Row],[City]])</f>
        <v>Accessories-Mumbai</v>
      </c>
      <c r="O397" t="str">
        <f>LEFT(Table1[[#This Row],[Category]],3)</f>
        <v>Acc</v>
      </c>
      <c r="P397" s="2"/>
    </row>
    <row r="398" spans="1:16" x14ac:dyDescent="0.35">
      <c r="A398" t="s">
        <v>408</v>
      </c>
      <c r="B398" t="s">
        <v>1213</v>
      </c>
      <c r="C398" t="s">
        <v>1226</v>
      </c>
      <c r="D398">
        <v>927</v>
      </c>
      <c r="E398">
        <v>4</v>
      </c>
      <c r="F398" t="s">
        <v>1308</v>
      </c>
      <c r="G398" t="s">
        <v>1587</v>
      </c>
      <c r="H398" t="s">
        <v>1591</v>
      </c>
      <c r="I398">
        <v>3708</v>
      </c>
      <c r="J398">
        <v>24</v>
      </c>
      <c r="K398" t="s">
        <v>1595</v>
      </c>
      <c r="L398" t="s">
        <v>1598</v>
      </c>
      <c r="M398" t="str">
        <f>IF(Table1[[#This Row],[Quantity]]&gt;2,"Bulk Order","Normal Order")</f>
        <v>Bulk Order</v>
      </c>
      <c r="N398" t="str">
        <f>_xlfn.CONCAT(Table1[[#This Row],[Category]],"-",Table1[[#This Row],[City]])</f>
        <v>Home-Mumbai</v>
      </c>
      <c r="O398" t="str">
        <f>LEFT(Table1[[#This Row],[Category]],3)</f>
        <v>Hom</v>
      </c>
      <c r="P398" s="2"/>
    </row>
    <row r="399" spans="1:16" x14ac:dyDescent="0.35">
      <c r="A399" t="s">
        <v>409</v>
      </c>
      <c r="B399" t="s">
        <v>1217</v>
      </c>
      <c r="C399" t="s">
        <v>1226</v>
      </c>
      <c r="D399">
        <v>3485</v>
      </c>
      <c r="E399">
        <v>3</v>
      </c>
      <c r="F399" t="s">
        <v>1478</v>
      </c>
      <c r="G399" t="s">
        <v>1587</v>
      </c>
      <c r="H399" t="s">
        <v>1590</v>
      </c>
      <c r="I399">
        <v>10455</v>
      </c>
      <c r="J399">
        <v>34</v>
      </c>
      <c r="K399" t="s">
        <v>1595</v>
      </c>
      <c r="L399" t="s">
        <v>1598</v>
      </c>
      <c r="M399" t="str">
        <f>IF(Table1[[#This Row],[Quantity]]&gt;2,"Bulk Order","Normal Order")</f>
        <v>Bulk Order</v>
      </c>
      <c r="N399" t="str">
        <f>_xlfn.CONCAT(Table1[[#This Row],[Category]],"-",Table1[[#This Row],[City]])</f>
        <v>Home-Mumbai</v>
      </c>
      <c r="O399" t="str">
        <f>LEFT(Table1[[#This Row],[Category]],3)</f>
        <v>Hom</v>
      </c>
      <c r="P399" s="2"/>
    </row>
    <row r="400" spans="1:16" x14ac:dyDescent="0.35">
      <c r="A400" t="s">
        <v>410</v>
      </c>
      <c r="B400" t="s">
        <v>1214</v>
      </c>
      <c r="C400" t="s">
        <v>1224</v>
      </c>
      <c r="D400">
        <v>2172</v>
      </c>
      <c r="E400">
        <v>2</v>
      </c>
      <c r="F400" t="s">
        <v>1419</v>
      </c>
      <c r="G400" t="s">
        <v>1585</v>
      </c>
      <c r="H400" t="s">
        <v>1590</v>
      </c>
      <c r="I400">
        <v>4344</v>
      </c>
      <c r="J400">
        <v>31</v>
      </c>
      <c r="K400" t="s">
        <v>1594</v>
      </c>
      <c r="L400" t="s">
        <v>1599</v>
      </c>
      <c r="M400" t="str">
        <f>IF(Table1[[#This Row],[Quantity]]&gt;2,"Bulk Order","Normal Order")</f>
        <v>Normal Order</v>
      </c>
      <c r="N400" t="str">
        <f>_xlfn.CONCAT(Table1[[#This Row],[Category]],"-",Table1[[#This Row],[City]])</f>
        <v>Lifestyle-Kolkata</v>
      </c>
      <c r="O400" t="str">
        <f>LEFT(Table1[[#This Row],[Category]],3)</f>
        <v>Lif</v>
      </c>
      <c r="P400" s="2"/>
    </row>
    <row r="401" spans="1:16" x14ac:dyDescent="0.35">
      <c r="A401" t="s">
        <v>411</v>
      </c>
      <c r="B401" t="s">
        <v>1212</v>
      </c>
      <c r="C401" t="s">
        <v>1228</v>
      </c>
      <c r="D401">
        <v>4737</v>
      </c>
      <c r="E401">
        <v>2</v>
      </c>
      <c r="F401" t="s">
        <v>1444</v>
      </c>
      <c r="G401" t="s">
        <v>1588</v>
      </c>
      <c r="H401" t="s">
        <v>1592</v>
      </c>
      <c r="I401">
        <v>9474</v>
      </c>
      <c r="J401">
        <v>95</v>
      </c>
      <c r="K401" t="s">
        <v>1595</v>
      </c>
      <c r="L401" t="s">
        <v>1598</v>
      </c>
      <c r="M401" t="str">
        <f>IF(Table1[[#This Row],[Quantity]]&gt;2,"Bulk Order","Normal Order")</f>
        <v>Normal Order</v>
      </c>
      <c r="N401" t="str">
        <f>_xlfn.CONCAT(Table1[[#This Row],[Category]],"-",Table1[[#This Row],[City]])</f>
        <v>Electronics-Delhi</v>
      </c>
      <c r="O401" t="str">
        <f>LEFT(Table1[[#This Row],[Category]],3)</f>
        <v>Ele</v>
      </c>
      <c r="P401" s="2"/>
    </row>
    <row r="402" spans="1:16" x14ac:dyDescent="0.35">
      <c r="A402" t="s">
        <v>412</v>
      </c>
      <c r="B402" t="s">
        <v>1219</v>
      </c>
      <c r="C402" t="s">
        <v>1224</v>
      </c>
      <c r="D402">
        <v>3465</v>
      </c>
      <c r="E402">
        <v>4</v>
      </c>
      <c r="F402" t="s">
        <v>1291</v>
      </c>
      <c r="G402" t="s">
        <v>1584</v>
      </c>
      <c r="H402" t="s">
        <v>1590</v>
      </c>
      <c r="I402">
        <v>13860</v>
      </c>
      <c r="J402">
        <v>88</v>
      </c>
      <c r="K402" t="s">
        <v>1595</v>
      </c>
      <c r="L402" t="s">
        <v>1598</v>
      </c>
      <c r="M402" t="str">
        <f>IF(Table1[[#This Row],[Quantity]]&gt;2,"Bulk Order","Normal Order")</f>
        <v>Bulk Order</v>
      </c>
      <c r="N402" t="str">
        <f>_xlfn.CONCAT(Table1[[#This Row],[Category]],"-",Table1[[#This Row],[City]])</f>
        <v>Lifestyle-Chennai</v>
      </c>
      <c r="O402" t="str">
        <f>LEFT(Table1[[#This Row],[Category]],3)</f>
        <v>Lif</v>
      </c>
      <c r="P402" s="2"/>
    </row>
    <row r="403" spans="1:16" x14ac:dyDescent="0.35">
      <c r="A403" t="s">
        <v>413</v>
      </c>
      <c r="B403" t="s">
        <v>1222</v>
      </c>
      <c r="C403" t="s">
        <v>1226</v>
      </c>
      <c r="D403">
        <v>3787</v>
      </c>
      <c r="E403">
        <v>2</v>
      </c>
      <c r="F403" t="s">
        <v>1381</v>
      </c>
      <c r="G403" t="s">
        <v>1587</v>
      </c>
      <c r="H403" t="s">
        <v>1592</v>
      </c>
      <c r="I403">
        <v>7574</v>
      </c>
      <c r="J403">
        <v>67</v>
      </c>
      <c r="K403" t="s">
        <v>1594</v>
      </c>
      <c r="L403" t="s">
        <v>1598</v>
      </c>
      <c r="M403" t="str">
        <f>IF(Table1[[#This Row],[Quantity]]&gt;2,"Bulk Order","Normal Order")</f>
        <v>Normal Order</v>
      </c>
      <c r="N403" t="str">
        <f>_xlfn.CONCAT(Table1[[#This Row],[Category]],"-",Table1[[#This Row],[City]])</f>
        <v>Home-Mumbai</v>
      </c>
      <c r="O403" t="str">
        <f>LEFT(Table1[[#This Row],[Category]],3)</f>
        <v>Hom</v>
      </c>
      <c r="P403" s="2"/>
    </row>
    <row r="404" spans="1:16" x14ac:dyDescent="0.35">
      <c r="A404" t="s">
        <v>414</v>
      </c>
      <c r="B404" t="s">
        <v>1214</v>
      </c>
      <c r="C404" t="s">
        <v>1226</v>
      </c>
      <c r="D404">
        <v>3808</v>
      </c>
      <c r="E404">
        <v>4</v>
      </c>
      <c r="F404" t="s">
        <v>1320</v>
      </c>
      <c r="G404" t="s">
        <v>1588</v>
      </c>
      <c r="H404" t="s">
        <v>1590</v>
      </c>
      <c r="I404">
        <v>15232</v>
      </c>
      <c r="J404">
        <v>22</v>
      </c>
      <c r="K404" t="s">
        <v>1595</v>
      </c>
      <c r="L404" t="s">
        <v>1599</v>
      </c>
      <c r="M404" t="str">
        <f>IF(Table1[[#This Row],[Quantity]]&gt;2,"Bulk Order","Normal Order")</f>
        <v>Bulk Order</v>
      </c>
      <c r="N404" t="str">
        <f>_xlfn.CONCAT(Table1[[#This Row],[Category]],"-",Table1[[#This Row],[City]])</f>
        <v>Home-Delhi</v>
      </c>
      <c r="O404" t="str">
        <f>LEFT(Table1[[#This Row],[Category]],3)</f>
        <v>Hom</v>
      </c>
      <c r="P404" s="2"/>
    </row>
    <row r="405" spans="1:16" x14ac:dyDescent="0.35">
      <c r="A405" t="s">
        <v>415</v>
      </c>
      <c r="B405" t="s">
        <v>1217</v>
      </c>
      <c r="C405" t="s">
        <v>1226</v>
      </c>
      <c r="D405">
        <v>698</v>
      </c>
      <c r="E405">
        <v>2</v>
      </c>
      <c r="F405" t="s">
        <v>1332</v>
      </c>
      <c r="G405" t="s">
        <v>1589</v>
      </c>
      <c r="H405" t="s">
        <v>1592</v>
      </c>
      <c r="I405">
        <v>1396</v>
      </c>
      <c r="J405">
        <v>46</v>
      </c>
      <c r="K405" t="s">
        <v>1595</v>
      </c>
      <c r="L405" t="s">
        <v>1599</v>
      </c>
      <c r="M405" t="str">
        <f>IF(Table1[[#This Row],[Quantity]]&gt;2,"Bulk Order","Normal Order")</f>
        <v>Normal Order</v>
      </c>
      <c r="N405" t="str">
        <f>_xlfn.CONCAT(Table1[[#This Row],[Category]],"-",Table1[[#This Row],[City]])</f>
        <v>Home-Bangalore</v>
      </c>
      <c r="O405" t="str">
        <f>LEFT(Table1[[#This Row],[Category]],3)</f>
        <v>Hom</v>
      </c>
      <c r="P405" s="2"/>
    </row>
    <row r="406" spans="1:16" x14ac:dyDescent="0.35">
      <c r="A406" t="s">
        <v>416</v>
      </c>
      <c r="B406" t="s">
        <v>1214</v>
      </c>
      <c r="C406" t="s">
        <v>1227</v>
      </c>
      <c r="D406">
        <v>3113</v>
      </c>
      <c r="E406">
        <v>3</v>
      </c>
      <c r="F406" t="s">
        <v>1479</v>
      </c>
      <c r="G406" t="s">
        <v>1588</v>
      </c>
      <c r="H406" t="s">
        <v>1591</v>
      </c>
      <c r="I406">
        <v>9339</v>
      </c>
      <c r="J406">
        <v>91</v>
      </c>
      <c r="K406" t="s">
        <v>1596</v>
      </c>
      <c r="L406" t="s">
        <v>1599</v>
      </c>
      <c r="M406" t="str">
        <f>IF(Table1[[#This Row],[Quantity]]&gt;2,"Bulk Order","Normal Order")</f>
        <v>Bulk Order</v>
      </c>
      <c r="N406" t="str">
        <f>_xlfn.CONCAT(Table1[[#This Row],[Category]],"-",Table1[[#This Row],[City]])</f>
        <v>Accessories-Delhi</v>
      </c>
      <c r="O406" t="str">
        <f>LEFT(Table1[[#This Row],[Category]],3)</f>
        <v>Acc</v>
      </c>
      <c r="P406" s="2"/>
    </row>
    <row r="407" spans="1:16" x14ac:dyDescent="0.35">
      <c r="A407" t="s">
        <v>417</v>
      </c>
      <c r="B407" t="s">
        <v>1222</v>
      </c>
      <c r="C407" t="s">
        <v>1227</v>
      </c>
      <c r="D407">
        <v>3607</v>
      </c>
      <c r="E407">
        <v>1</v>
      </c>
      <c r="F407" t="s">
        <v>1404</v>
      </c>
      <c r="G407" t="s">
        <v>1589</v>
      </c>
      <c r="H407" t="s">
        <v>1592</v>
      </c>
      <c r="I407">
        <v>3607</v>
      </c>
      <c r="J407">
        <v>74</v>
      </c>
      <c r="K407" t="s">
        <v>1594</v>
      </c>
      <c r="L407" t="s">
        <v>1599</v>
      </c>
      <c r="M407" t="str">
        <f>IF(Table1[[#This Row],[Quantity]]&gt;2,"Bulk Order","Normal Order")</f>
        <v>Normal Order</v>
      </c>
      <c r="N407" t="str">
        <f>_xlfn.CONCAT(Table1[[#This Row],[Category]],"-",Table1[[#This Row],[City]])</f>
        <v>Accessories-Bangalore</v>
      </c>
      <c r="O407" t="str">
        <f>LEFT(Table1[[#This Row],[Category]],3)</f>
        <v>Acc</v>
      </c>
      <c r="P407" s="2"/>
    </row>
    <row r="408" spans="1:16" x14ac:dyDescent="0.35">
      <c r="A408" t="s">
        <v>418</v>
      </c>
      <c r="B408" t="s">
        <v>1212</v>
      </c>
      <c r="C408" t="s">
        <v>1227</v>
      </c>
      <c r="D408">
        <v>1354</v>
      </c>
      <c r="E408">
        <v>4</v>
      </c>
      <c r="F408" t="s">
        <v>1305</v>
      </c>
      <c r="G408" t="s">
        <v>1585</v>
      </c>
      <c r="H408" t="s">
        <v>1592</v>
      </c>
      <c r="I408">
        <v>5416</v>
      </c>
      <c r="J408">
        <v>46</v>
      </c>
      <c r="K408" t="s">
        <v>1595</v>
      </c>
      <c r="L408" t="s">
        <v>1597</v>
      </c>
      <c r="M408" t="str">
        <f>IF(Table1[[#This Row],[Quantity]]&gt;2,"Bulk Order","Normal Order")</f>
        <v>Bulk Order</v>
      </c>
      <c r="N408" t="str">
        <f>_xlfn.CONCAT(Table1[[#This Row],[Category]],"-",Table1[[#This Row],[City]])</f>
        <v>Accessories-Kolkata</v>
      </c>
      <c r="O408" t="str">
        <f>LEFT(Table1[[#This Row],[Category]],3)</f>
        <v>Acc</v>
      </c>
      <c r="P408" s="2"/>
    </row>
    <row r="409" spans="1:16" x14ac:dyDescent="0.35">
      <c r="A409" t="s">
        <v>419</v>
      </c>
      <c r="B409" t="s">
        <v>1220</v>
      </c>
      <c r="C409" t="s">
        <v>1225</v>
      </c>
      <c r="D409">
        <v>2277</v>
      </c>
      <c r="E409">
        <v>1</v>
      </c>
      <c r="F409" t="s">
        <v>1424</v>
      </c>
      <c r="G409" t="s">
        <v>1588</v>
      </c>
      <c r="H409" t="s">
        <v>1592</v>
      </c>
      <c r="I409">
        <v>2277</v>
      </c>
      <c r="J409">
        <v>51</v>
      </c>
      <c r="K409" t="s">
        <v>1594</v>
      </c>
      <c r="L409" t="s">
        <v>1599</v>
      </c>
      <c r="M409" t="str">
        <f>IF(Table1[[#This Row],[Quantity]]&gt;2,"Bulk Order","Normal Order")</f>
        <v>Normal Order</v>
      </c>
      <c r="N409" t="str">
        <f>_xlfn.CONCAT(Table1[[#This Row],[Category]],"-",Table1[[#This Row],[City]])</f>
        <v>Fitness-Delhi</v>
      </c>
      <c r="O409" t="str">
        <f>LEFT(Table1[[#This Row],[Category]],3)</f>
        <v>Fit</v>
      </c>
      <c r="P409" s="2"/>
    </row>
    <row r="410" spans="1:16" x14ac:dyDescent="0.35">
      <c r="A410" t="s">
        <v>420</v>
      </c>
      <c r="B410" t="s">
        <v>1212</v>
      </c>
      <c r="C410" t="s">
        <v>1225</v>
      </c>
      <c r="D410">
        <v>3025</v>
      </c>
      <c r="E410">
        <v>4</v>
      </c>
      <c r="F410" t="s">
        <v>1480</v>
      </c>
      <c r="G410" t="s">
        <v>1588</v>
      </c>
      <c r="H410" t="s">
        <v>1590</v>
      </c>
      <c r="I410">
        <v>12100</v>
      </c>
      <c r="J410">
        <v>59</v>
      </c>
      <c r="K410" t="s">
        <v>1595</v>
      </c>
      <c r="L410" t="s">
        <v>1599</v>
      </c>
      <c r="M410" t="str">
        <f>IF(Table1[[#This Row],[Quantity]]&gt;2,"Bulk Order","Normal Order")</f>
        <v>Bulk Order</v>
      </c>
      <c r="N410" t="str">
        <f>_xlfn.CONCAT(Table1[[#This Row],[Category]],"-",Table1[[#This Row],[City]])</f>
        <v>Fitness-Delhi</v>
      </c>
      <c r="O410" t="str">
        <f>LEFT(Table1[[#This Row],[Category]],3)</f>
        <v>Fit</v>
      </c>
      <c r="P410" s="2"/>
    </row>
    <row r="411" spans="1:16" x14ac:dyDescent="0.35">
      <c r="A411" t="s">
        <v>421</v>
      </c>
      <c r="B411" t="s">
        <v>1215</v>
      </c>
      <c r="C411" t="s">
        <v>1227</v>
      </c>
      <c r="D411">
        <v>2453</v>
      </c>
      <c r="E411">
        <v>3</v>
      </c>
      <c r="F411" t="s">
        <v>1481</v>
      </c>
      <c r="G411" t="s">
        <v>1588</v>
      </c>
      <c r="H411" t="s">
        <v>1591</v>
      </c>
      <c r="I411">
        <v>7359</v>
      </c>
      <c r="J411">
        <v>73</v>
      </c>
      <c r="K411" t="s">
        <v>1596</v>
      </c>
      <c r="L411" t="s">
        <v>1598</v>
      </c>
      <c r="M411" t="str">
        <f>IF(Table1[[#This Row],[Quantity]]&gt;2,"Bulk Order","Normal Order")</f>
        <v>Bulk Order</v>
      </c>
      <c r="N411" t="str">
        <f>_xlfn.CONCAT(Table1[[#This Row],[Category]],"-",Table1[[#This Row],[City]])</f>
        <v>Accessories-Delhi</v>
      </c>
      <c r="O411" t="str">
        <f>LEFT(Table1[[#This Row],[Category]],3)</f>
        <v>Acc</v>
      </c>
      <c r="P411" s="2"/>
    </row>
    <row r="412" spans="1:16" x14ac:dyDescent="0.35">
      <c r="A412" t="s">
        <v>422</v>
      </c>
      <c r="B412" t="s">
        <v>1219</v>
      </c>
      <c r="C412" t="s">
        <v>1224</v>
      </c>
      <c r="D412">
        <v>4922</v>
      </c>
      <c r="E412">
        <v>2</v>
      </c>
      <c r="F412" t="s">
        <v>1448</v>
      </c>
      <c r="G412" t="s">
        <v>1587</v>
      </c>
      <c r="H412" t="s">
        <v>1592</v>
      </c>
      <c r="I412">
        <v>9844</v>
      </c>
      <c r="J412">
        <v>99</v>
      </c>
      <c r="K412" t="s">
        <v>1595</v>
      </c>
      <c r="L412" t="s">
        <v>1599</v>
      </c>
      <c r="M412" t="str">
        <f>IF(Table1[[#This Row],[Quantity]]&gt;2,"Bulk Order","Normal Order")</f>
        <v>Normal Order</v>
      </c>
      <c r="N412" t="str">
        <f>_xlfn.CONCAT(Table1[[#This Row],[Category]],"-",Table1[[#This Row],[City]])</f>
        <v>Lifestyle-Mumbai</v>
      </c>
      <c r="O412" t="str">
        <f>LEFT(Table1[[#This Row],[Category]],3)</f>
        <v>Lif</v>
      </c>
      <c r="P412" s="2"/>
    </row>
    <row r="413" spans="1:16" x14ac:dyDescent="0.35">
      <c r="A413" t="s">
        <v>423</v>
      </c>
      <c r="B413" t="s">
        <v>1214</v>
      </c>
      <c r="C413" t="s">
        <v>1225</v>
      </c>
      <c r="D413">
        <v>2297</v>
      </c>
      <c r="E413">
        <v>3</v>
      </c>
      <c r="F413" t="s">
        <v>1482</v>
      </c>
      <c r="G413" t="s">
        <v>1584</v>
      </c>
      <c r="H413" t="s">
        <v>1593</v>
      </c>
      <c r="I413">
        <v>6891</v>
      </c>
      <c r="J413">
        <v>77</v>
      </c>
      <c r="K413" t="s">
        <v>1595</v>
      </c>
      <c r="L413" t="s">
        <v>1599</v>
      </c>
      <c r="M413" t="str">
        <f>IF(Table1[[#This Row],[Quantity]]&gt;2,"Bulk Order","Normal Order")</f>
        <v>Bulk Order</v>
      </c>
      <c r="N413" t="str">
        <f>_xlfn.CONCAT(Table1[[#This Row],[Category]],"-",Table1[[#This Row],[City]])</f>
        <v>Fitness-Chennai</v>
      </c>
      <c r="O413" t="str">
        <f>LEFT(Table1[[#This Row],[Category]],3)</f>
        <v>Fit</v>
      </c>
      <c r="P413" s="2"/>
    </row>
    <row r="414" spans="1:16" x14ac:dyDescent="0.35">
      <c r="A414" t="s">
        <v>424</v>
      </c>
      <c r="B414" t="s">
        <v>1218</v>
      </c>
      <c r="C414" t="s">
        <v>1226</v>
      </c>
      <c r="D414">
        <v>4040</v>
      </c>
      <c r="E414">
        <v>3</v>
      </c>
      <c r="F414" t="s">
        <v>1277</v>
      </c>
      <c r="G414" t="s">
        <v>1589</v>
      </c>
      <c r="H414" t="s">
        <v>1590</v>
      </c>
      <c r="I414">
        <v>12120</v>
      </c>
      <c r="J414">
        <v>29</v>
      </c>
      <c r="K414" t="s">
        <v>1596</v>
      </c>
      <c r="L414" t="s">
        <v>1598</v>
      </c>
      <c r="M414" t="str">
        <f>IF(Table1[[#This Row],[Quantity]]&gt;2,"Bulk Order","Normal Order")</f>
        <v>Bulk Order</v>
      </c>
      <c r="N414" t="str">
        <f>_xlfn.CONCAT(Table1[[#This Row],[Category]],"-",Table1[[#This Row],[City]])</f>
        <v>Home-Bangalore</v>
      </c>
      <c r="O414" t="str">
        <f>LEFT(Table1[[#This Row],[Category]],3)</f>
        <v>Hom</v>
      </c>
      <c r="P414" s="2"/>
    </row>
    <row r="415" spans="1:16" x14ac:dyDescent="0.35">
      <c r="A415" t="s">
        <v>425</v>
      </c>
      <c r="B415" t="s">
        <v>1223</v>
      </c>
      <c r="C415" t="s">
        <v>1227</v>
      </c>
      <c r="D415">
        <v>2015</v>
      </c>
      <c r="E415">
        <v>3</v>
      </c>
      <c r="F415" t="s">
        <v>1427</v>
      </c>
      <c r="G415" t="s">
        <v>1587</v>
      </c>
      <c r="H415" t="s">
        <v>1591</v>
      </c>
      <c r="I415">
        <v>6045</v>
      </c>
      <c r="J415">
        <v>37</v>
      </c>
      <c r="K415" t="s">
        <v>1595</v>
      </c>
      <c r="L415" t="s">
        <v>1598</v>
      </c>
      <c r="M415" t="str">
        <f>IF(Table1[[#This Row],[Quantity]]&gt;2,"Bulk Order","Normal Order")</f>
        <v>Bulk Order</v>
      </c>
      <c r="N415" t="str">
        <f>_xlfn.CONCAT(Table1[[#This Row],[Category]],"-",Table1[[#This Row],[City]])</f>
        <v>Accessories-Mumbai</v>
      </c>
      <c r="O415" t="str">
        <f>LEFT(Table1[[#This Row],[Category]],3)</f>
        <v>Acc</v>
      </c>
      <c r="P415" s="2"/>
    </row>
    <row r="416" spans="1:16" x14ac:dyDescent="0.35">
      <c r="A416" t="s">
        <v>426</v>
      </c>
      <c r="B416" t="s">
        <v>1214</v>
      </c>
      <c r="C416" t="s">
        <v>1228</v>
      </c>
      <c r="D416">
        <v>1128</v>
      </c>
      <c r="E416">
        <v>4</v>
      </c>
      <c r="F416" t="s">
        <v>1278</v>
      </c>
      <c r="G416" t="s">
        <v>1589</v>
      </c>
      <c r="H416" t="s">
        <v>1590</v>
      </c>
      <c r="I416">
        <v>4512</v>
      </c>
      <c r="J416">
        <v>74</v>
      </c>
      <c r="K416" t="s">
        <v>1595</v>
      </c>
      <c r="L416" t="s">
        <v>1597</v>
      </c>
      <c r="M416" t="str">
        <f>IF(Table1[[#This Row],[Quantity]]&gt;2,"Bulk Order","Normal Order")</f>
        <v>Bulk Order</v>
      </c>
      <c r="N416" t="str">
        <f>_xlfn.CONCAT(Table1[[#This Row],[Category]],"-",Table1[[#This Row],[City]])</f>
        <v>Electronics-Bangalore</v>
      </c>
      <c r="O416" t="str">
        <f>LEFT(Table1[[#This Row],[Category]],3)</f>
        <v>Ele</v>
      </c>
      <c r="P416" s="2"/>
    </row>
    <row r="417" spans="1:16" x14ac:dyDescent="0.35">
      <c r="A417" t="s">
        <v>427</v>
      </c>
      <c r="B417" t="s">
        <v>1222</v>
      </c>
      <c r="C417" t="s">
        <v>1227</v>
      </c>
      <c r="D417">
        <v>2400</v>
      </c>
      <c r="E417">
        <v>4</v>
      </c>
      <c r="F417" t="s">
        <v>1389</v>
      </c>
      <c r="G417" t="s">
        <v>1589</v>
      </c>
      <c r="H417" t="s">
        <v>1592</v>
      </c>
      <c r="I417">
        <v>9600</v>
      </c>
      <c r="J417">
        <v>85</v>
      </c>
      <c r="K417" t="s">
        <v>1595</v>
      </c>
      <c r="L417" t="s">
        <v>1597</v>
      </c>
      <c r="M417" t="str">
        <f>IF(Table1[[#This Row],[Quantity]]&gt;2,"Bulk Order","Normal Order")</f>
        <v>Bulk Order</v>
      </c>
      <c r="N417" t="str">
        <f>_xlfn.CONCAT(Table1[[#This Row],[Category]],"-",Table1[[#This Row],[City]])</f>
        <v>Accessories-Bangalore</v>
      </c>
      <c r="O417" t="str">
        <f>LEFT(Table1[[#This Row],[Category]],3)</f>
        <v>Acc</v>
      </c>
      <c r="P417" s="2"/>
    </row>
    <row r="418" spans="1:16" x14ac:dyDescent="0.35">
      <c r="A418" t="s">
        <v>428</v>
      </c>
      <c r="B418" t="s">
        <v>1220</v>
      </c>
      <c r="C418" t="s">
        <v>1227</v>
      </c>
      <c r="D418">
        <v>449</v>
      </c>
      <c r="E418">
        <v>4</v>
      </c>
      <c r="F418" t="s">
        <v>1260</v>
      </c>
      <c r="G418" t="s">
        <v>1585</v>
      </c>
      <c r="H418" t="s">
        <v>1590</v>
      </c>
      <c r="I418">
        <v>1796</v>
      </c>
      <c r="J418">
        <v>65</v>
      </c>
      <c r="K418" t="s">
        <v>1595</v>
      </c>
      <c r="L418" t="s">
        <v>1599</v>
      </c>
      <c r="M418" t="str">
        <f>IF(Table1[[#This Row],[Quantity]]&gt;2,"Bulk Order","Normal Order")</f>
        <v>Bulk Order</v>
      </c>
      <c r="N418" t="str">
        <f>_xlfn.CONCAT(Table1[[#This Row],[Category]],"-",Table1[[#This Row],[City]])</f>
        <v>Accessories-Kolkata</v>
      </c>
      <c r="O418" t="str">
        <f>LEFT(Table1[[#This Row],[Category]],3)</f>
        <v>Acc</v>
      </c>
      <c r="P418" s="2"/>
    </row>
    <row r="419" spans="1:16" x14ac:dyDescent="0.35">
      <c r="A419" t="s">
        <v>429</v>
      </c>
      <c r="B419" t="s">
        <v>1217</v>
      </c>
      <c r="C419" t="s">
        <v>1227</v>
      </c>
      <c r="D419">
        <v>3760</v>
      </c>
      <c r="E419">
        <v>3</v>
      </c>
      <c r="F419" t="s">
        <v>1331</v>
      </c>
      <c r="G419" t="s">
        <v>1587</v>
      </c>
      <c r="H419" t="s">
        <v>1593</v>
      </c>
      <c r="I419">
        <v>11280</v>
      </c>
      <c r="J419">
        <v>30</v>
      </c>
      <c r="K419" t="s">
        <v>1594</v>
      </c>
      <c r="L419" t="s">
        <v>1599</v>
      </c>
      <c r="M419" t="str">
        <f>IF(Table1[[#This Row],[Quantity]]&gt;2,"Bulk Order","Normal Order")</f>
        <v>Bulk Order</v>
      </c>
      <c r="N419" t="str">
        <f>_xlfn.CONCAT(Table1[[#This Row],[Category]],"-",Table1[[#This Row],[City]])</f>
        <v>Accessories-Mumbai</v>
      </c>
      <c r="O419" t="str">
        <f>LEFT(Table1[[#This Row],[Category]],3)</f>
        <v>Acc</v>
      </c>
      <c r="P419" s="2"/>
    </row>
    <row r="420" spans="1:16" x14ac:dyDescent="0.35">
      <c r="A420" t="s">
        <v>430</v>
      </c>
      <c r="B420" t="s">
        <v>1214</v>
      </c>
      <c r="C420" t="s">
        <v>1225</v>
      </c>
      <c r="D420">
        <v>1641</v>
      </c>
      <c r="E420">
        <v>4</v>
      </c>
      <c r="F420" t="s">
        <v>1242</v>
      </c>
      <c r="G420" t="s">
        <v>1586</v>
      </c>
      <c r="H420" t="s">
        <v>1591</v>
      </c>
      <c r="I420">
        <v>6564</v>
      </c>
      <c r="J420">
        <v>82</v>
      </c>
      <c r="K420" t="s">
        <v>1595</v>
      </c>
      <c r="L420" t="s">
        <v>1597</v>
      </c>
      <c r="M420" t="str">
        <f>IF(Table1[[#This Row],[Quantity]]&gt;2,"Bulk Order","Normal Order")</f>
        <v>Bulk Order</v>
      </c>
      <c r="N420" t="str">
        <f>_xlfn.CONCAT(Table1[[#This Row],[Category]],"-",Table1[[#This Row],[City]])</f>
        <v>Fitness-Hyderabad</v>
      </c>
      <c r="O420" t="str">
        <f>LEFT(Table1[[#This Row],[Category]],3)</f>
        <v>Fit</v>
      </c>
      <c r="P420" s="2"/>
    </row>
    <row r="421" spans="1:16" x14ac:dyDescent="0.35">
      <c r="A421" t="s">
        <v>431</v>
      </c>
      <c r="B421" t="s">
        <v>1222</v>
      </c>
      <c r="C421" t="s">
        <v>1224</v>
      </c>
      <c r="D421">
        <v>1399</v>
      </c>
      <c r="E421">
        <v>3</v>
      </c>
      <c r="F421" t="s">
        <v>1483</v>
      </c>
      <c r="G421" t="s">
        <v>1584</v>
      </c>
      <c r="H421" t="s">
        <v>1592</v>
      </c>
      <c r="I421">
        <v>4197</v>
      </c>
      <c r="J421">
        <v>89</v>
      </c>
      <c r="K421" t="s">
        <v>1595</v>
      </c>
      <c r="L421" t="s">
        <v>1599</v>
      </c>
      <c r="M421" t="str">
        <f>IF(Table1[[#This Row],[Quantity]]&gt;2,"Bulk Order","Normal Order")</f>
        <v>Bulk Order</v>
      </c>
      <c r="N421" t="str">
        <f>_xlfn.CONCAT(Table1[[#This Row],[Category]],"-",Table1[[#This Row],[City]])</f>
        <v>Lifestyle-Chennai</v>
      </c>
      <c r="O421" t="str">
        <f>LEFT(Table1[[#This Row],[Category]],3)</f>
        <v>Lif</v>
      </c>
      <c r="P421" s="2"/>
    </row>
    <row r="422" spans="1:16" x14ac:dyDescent="0.35">
      <c r="A422" t="s">
        <v>432</v>
      </c>
      <c r="B422" t="s">
        <v>1214</v>
      </c>
      <c r="C422" t="s">
        <v>1225</v>
      </c>
      <c r="D422">
        <v>2960</v>
      </c>
      <c r="E422">
        <v>3</v>
      </c>
      <c r="F422" t="s">
        <v>1484</v>
      </c>
      <c r="G422" t="s">
        <v>1587</v>
      </c>
      <c r="H422" t="s">
        <v>1593</v>
      </c>
      <c r="I422">
        <v>8880</v>
      </c>
      <c r="J422">
        <v>100</v>
      </c>
      <c r="K422" t="s">
        <v>1594</v>
      </c>
      <c r="L422" t="s">
        <v>1598</v>
      </c>
      <c r="M422" t="str">
        <f>IF(Table1[[#This Row],[Quantity]]&gt;2,"Bulk Order","Normal Order")</f>
        <v>Bulk Order</v>
      </c>
      <c r="N422" t="str">
        <f>_xlfn.CONCAT(Table1[[#This Row],[Category]],"-",Table1[[#This Row],[City]])</f>
        <v>Fitness-Mumbai</v>
      </c>
      <c r="O422" t="str">
        <f>LEFT(Table1[[#This Row],[Category]],3)</f>
        <v>Fit</v>
      </c>
      <c r="P422" s="2"/>
    </row>
    <row r="423" spans="1:16" x14ac:dyDescent="0.35">
      <c r="A423" t="s">
        <v>433</v>
      </c>
      <c r="B423" t="s">
        <v>1212</v>
      </c>
      <c r="C423" t="s">
        <v>1228</v>
      </c>
      <c r="D423">
        <v>2660</v>
      </c>
      <c r="E423">
        <v>3</v>
      </c>
      <c r="F423" t="s">
        <v>1485</v>
      </c>
      <c r="G423" t="s">
        <v>1588</v>
      </c>
      <c r="H423" t="s">
        <v>1591</v>
      </c>
      <c r="I423">
        <v>7980</v>
      </c>
      <c r="J423">
        <v>71</v>
      </c>
      <c r="K423" t="s">
        <v>1595</v>
      </c>
      <c r="L423" t="s">
        <v>1599</v>
      </c>
      <c r="M423" t="str">
        <f>IF(Table1[[#This Row],[Quantity]]&gt;2,"Bulk Order","Normal Order")</f>
        <v>Bulk Order</v>
      </c>
      <c r="N423" t="str">
        <f>_xlfn.CONCAT(Table1[[#This Row],[Category]],"-",Table1[[#This Row],[City]])</f>
        <v>Electronics-Delhi</v>
      </c>
      <c r="O423" t="str">
        <f>LEFT(Table1[[#This Row],[Category]],3)</f>
        <v>Ele</v>
      </c>
      <c r="P423" s="2"/>
    </row>
    <row r="424" spans="1:16" x14ac:dyDescent="0.35">
      <c r="A424" t="s">
        <v>434</v>
      </c>
      <c r="B424" t="s">
        <v>1218</v>
      </c>
      <c r="C424" t="s">
        <v>1227</v>
      </c>
      <c r="D424">
        <v>1702</v>
      </c>
      <c r="E424">
        <v>2</v>
      </c>
      <c r="F424" t="s">
        <v>1469</v>
      </c>
      <c r="G424" t="s">
        <v>1589</v>
      </c>
      <c r="H424" t="s">
        <v>1592</v>
      </c>
      <c r="I424">
        <v>3404</v>
      </c>
      <c r="J424">
        <v>33</v>
      </c>
      <c r="K424" t="s">
        <v>1594</v>
      </c>
      <c r="L424" t="s">
        <v>1598</v>
      </c>
      <c r="M424" t="str">
        <f>IF(Table1[[#This Row],[Quantity]]&gt;2,"Bulk Order","Normal Order")</f>
        <v>Normal Order</v>
      </c>
      <c r="N424" t="str">
        <f>_xlfn.CONCAT(Table1[[#This Row],[Category]],"-",Table1[[#This Row],[City]])</f>
        <v>Accessories-Bangalore</v>
      </c>
      <c r="O424" t="str">
        <f>LEFT(Table1[[#This Row],[Category]],3)</f>
        <v>Acc</v>
      </c>
      <c r="P424" s="2"/>
    </row>
    <row r="425" spans="1:16" x14ac:dyDescent="0.35">
      <c r="A425" t="s">
        <v>435</v>
      </c>
      <c r="B425" t="s">
        <v>1219</v>
      </c>
      <c r="C425" t="s">
        <v>1224</v>
      </c>
      <c r="D425">
        <v>1817</v>
      </c>
      <c r="E425">
        <v>3</v>
      </c>
      <c r="F425" t="s">
        <v>1294</v>
      </c>
      <c r="G425" t="s">
        <v>1589</v>
      </c>
      <c r="H425" t="s">
        <v>1592</v>
      </c>
      <c r="I425">
        <v>5451</v>
      </c>
      <c r="J425">
        <v>83</v>
      </c>
      <c r="K425" t="s">
        <v>1595</v>
      </c>
      <c r="L425" t="s">
        <v>1599</v>
      </c>
      <c r="M425" t="str">
        <f>IF(Table1[[#This Row],[Quantity]]&gt;2,"Bulk Order","Normal Order")</f>
        <v>Bulk Order</v>
      </c>
      <c r="N425" t="str">
        <f>_xlfn.CONCAT(Table1[[#This Row],[Category]],"-",Table1[[#This Row],[City]])</f>
        <v>Lifestyle-Bangalore</v>
      </c>
      <c r="O425" t="str">
        <f>LEFT(Table1[[#This Row],[Category]],3)</f>
        <v>Lif</v>
      </c>
      <c r="P425" s="2"/>
    </row>
    <row r="426" spans="1:16" x14ac:dyDescent="0.35">
      <c r="A426" t="s">
        <v>436</v>
      </c>
      <c r="B426" t="s">
        <v>1216</v>
      </c>
      <c r="C426" t="s">
        <v>1228</v>
      </c>
      <c r="D426">
        <v>3397</v>
      </c>
      <c r="E426">
        <v>1</v>
      </c>
      <c r="F426" t="s">
        <v>1486</v>
      </c>
      <c r="G426" t="s">
        <v>1586</v>
      </c>
      <c r="H426" t="s">
        <v>1592</v>
      </c>
      <c r="I426">
        <v>3397</v>
      </c>
      <c r="J426">
        <v>25</v>
      </c>
      <c r="K426" t="s">
        <v>1595</v>
      </c>
      <c r="L426" t="s">
        <v>1599</v>
      </c>
      <c r="M426" t="str">
        <f>IF(Table1[[#This Row],[Quantity]]&gt;2,"Bulk Order","Normal Order")</f>
        <v>Normal Order</v>
      </c>
      <c r="N426" t="str">
        <f>_xlfn.CONCAT(Table1[[#This Row],[Category]],"-",Table1[[#This Row],[City]])</f>
        <v>Electronics-Hyderabad</v>
      </c>
      <c r="O426" t="str">
        <f>LEFT(Table1[[#This Row],[Category]],3)</f>
        <v>Ele</v>
      </c>
      <c r="P426" s="2"/>
    </row>
    <row r="427" spans="1:16" x14ac:dyDescent="0.35">
      <c r="A427" t="s">
        <v>437</v>
      </c>
      <c r="B427" t="s">
        <v>1222</v>
      </c>
      <c r="C427" t="s">
        <v>1228</v>
      </c>
      <c r="D427">
        <v>1188</v>
      </c>
      <c r="E427">
        <v>2</v>
      </c>
      <c r="F427" t="s">
        <v>1371</v>
      </c>
      <c r="G427" t="s">
        <v>1584</v>
      </c>
      <c r="H427" t="s">
        <v>1590</v>
      </c>
      <c r="I427">
        <v>2376</v>
      </c>
      <c r="J427">
        <v>49</v>
      </c>
      <c r="K427" t="s">
        <v>1595</v>
      </c>
      <c r="L427" t="s">
        <v>1599</v>
      </c>
      <c r="M427" t="str">
        <f>IF(Table1[[#This Row],[Quantity]]&gt;2,"Bulk Order","Normal Order")</f>
        <v>Normal Order</v>
      </c>
      <c r="N427" t="str">
        <f>_xlfn.CONCAT(Table1[[#This Row],[Category]],"-",Table1[[#This Row],[City]])</f>
        <v>Electronics-Chennai</v>
      </c>
      <c r="O427" t="str">
        <f>LEFT(Table1[[#This Row],[Category]],3)</f>
        <v>Ele</v>
      </c>
      <c r="P427" s="2"/>
    </row>
    <row r="428" spans="1:16" x14ac:dyDescent="0.35">
      <c r="A428" t="s">
        <v>438</v>
      </c>
      <c r="B428" t="s">
        <v>1221</v>
      </c>
      <c r="C428" t="s">
        <v>1226</v>
      </c>
      <c r="D428">
        <v>4174</v>
      </c>
      <c r="E428">
        <v>2</v>
      </c>
      <c r="F428" t="s">
        <v>1487</v>
      </c>
      <c r="G428" t="s">
        <v>1589</v>
      </c>
      <c r="H428" t="s">
        <v>1592</v>
      </c>
      <c r="I428">
        <v>8348</v>
      </c>
      <c r="J428">
        <v>56</v>
      </c>
      <c r="K428" t="s">
        <v>1595</v>
      </c>
      <c r="L428" t="s">
        <v>1599</v>
      </c>
      <c r="M428" t="str">
        <f>IF(Table1[[#This Row],[Quantity]]&gt;2,"Bulk Order","Normal Order")</f>
        <v>Normal Order</v>
      </c>
      <c r="N428" t="str">
        <f>_xlfn.CONCAT(Table1[[#This Row],[Category]],"-",Table1[[#This Row],[City]])</f>
        <v>Home-Bangalore</v>
      </c>
      <c r="O428" t="str">
        <f>LEFT(Table1[[#This Row],[Category]],3)</f>
        <v>Hom</v>
      </c>
      <c r="P428" s="2"/>
    </row>
    <row r="429" spans="1:16" x14ac:dyDescent="0.35">
      <c r="A429" t="s">
        <v>439</v>
      </c>
      <c r="B429" t="s">
        <v>1216</v>
      </c>
      <c r="C429" t="s">
        <v>1224</v>
      </c>
      <c r="D429">
        <v>4953</v>
      </c>
      <c r="E429">
        <v>1</v>
      </c>
      <c r="F429" t="s">
        <v>1488</v>
      </c>
      <c r="G429" t="s">
        <v>1588</v>
      </c>
      <c r="H429" t="s">
        <v>1590</v>
      </c>
      <c r="I429">
        <v>4953</v>
      </c>
      <c r="J429">
        <v>97</v>
      </c>
      <c r="K429" t="s">
        <v>1595</v>
      </c>
      <c r="L429" t="s">
        <v>1598</v>
      </c>
      <c r="M429" t="str">
        <f>IF(Table1[[#This Row],[Quantity]]&gt;2,"Bulk Order","Normal Order")</f>
        <v>Normal Order</v>
      </c>
      <c r="N429" t="str">
        <f>_xlfn.CONCAT(Table1[[#This Row],[Category]],"-",Table1[[#This Row],[City]])</f>
        <v>Lifestyle-Delhi</v>
      </c>
      <c r="O429" t="str">
        <f>LEFT(Table1[[#This Row],[Category]],3)</f>
        <v>Lif</v>
      </c>
      <c r="P429" s="2"/>
    </row>
    <row r="430" spans="1:16" x14ac:dyDescent="0.35">
      <c r="A430" t="s">
        <v>440</v>
      </c>
      <c r="B430" t="s">
        <v>1219</v>
      </c>
      <c r="C430" t="s">
        <v>1225</v>
      </c>
      <c r="D430">
        <v>1958</v>
      </c>
      <c r="E430">
        <v>2</v>
      </c>
      <c r="F430" t="s">
        <v>1306</v>
      </c>
      <c r="G430" t="s">
        <v>1584</v>
      </c>
      <c r="H430" t="s">
        <v>1590</v>
      </c>
      <c r="I430">
        <v>3916</v>
      </c>
      <c r="J430">
        <v>43</v>
      </c>
      <c r="K430" t="s">
        <v>1596</v>
      </c>
      <c r="L430" t="s">
        <v>1597</v>
      </c>
      <c r="M430" t="str">
        <f>IF(Table1[[#This Row],[Quantity]]&gt;2,"Bulk Order","Normal Order")</f>
        <v>Normal Order</v>
      </c>
      <c r="N430" t="str">
        <f>_xlfn.CONCAT(Table1[[#This Row],[Category]],"-",Table1[[#This Row],[City]])</f>
        <v>Fitness-Chennai</v>
      </c>
      <c r="O430" t="str">
        <f>LEFT(Table1[[#This Row],[Category]],3)</f>
        <v>Fit</v>
      </c>
      <c r="P430" s="2"/>
    </row>
    <row r="431" spans="1:16" x14ac:dyDescent="0.35">
      <c r="A431" t="s">
        <v>441</v>
      </c>
      <c r="B431" t="s">
        <v>1221</v>
      </c>
      <c r="C431" t="s">
        <v>1225</v>
      </c>
      <c r="D431">
        <v>1743</v>
      </c>
      <c r="E431">
        <v>4</v>
      </c>
      <c r="F431" t="s">
        <v>1448</v>
      </c>
      <c r="G431" t="s">
        <v>1587</v>
      </c>
      <c r="H431" t="s">
        <v>1591</v>
      </c>
      <c r="I431">
        <v>6972</v>
      </c>
      <c r="J431">
        <v>73</v>
      </c>
      <c r="K431" t="s">
        <v>1595</v>
      </c>
      <c r="L431" t="s">
        <v>1597</v>
      </c>
      <c r="M431" t="str">
        <f>IF(Table1[[#This Row],[Quantity]]&gt;2,"Bulk Order","Normal Order")</f>
        <v>Bulk Order</v>
      </c>
      <c r="N431" t="str">
        <f>_xlfn.CONCAT(Table1[[#This Row],[Category]],"-",Table1[[#This Row],[City]])</f>
        <v>Fitness-Mumbai</v>
      </c>
      <c r="O431" t="str">
        <f>LEFT(Table1[[#This Row],[Category]],3)</f>
        <v>Fit</v>
      </c>
      <c r="P431" s="2"/>
    </row>
    <row r="432" spans="1:16" x14ac:dyDescent="0.35">
      <c r="A432" t="s">
        <v>442</v>
      </c>
      <c r="B432" t="s">
        <v>1219</v>
      </c>
      <c r="C432" t="s">
        <v>1225</v>
      </c>
      <c r="D432">
        <v>2545</v>
      </c>
      <c r="E432">
        <v>2</v>
      </c>
      <c r="F432" t="s">
        <v>1489</v>
      </c>
      <c r="G432" t="s">
        <v>1585</v>
      </c>
      <c r="H432" t="s">
        <v>1591</v>
      </c>
      <c r="I432">
        <v>5090</v>
      </c>
      <c r="J432">
        <v>37</v>
      </c>
      <c r="K432" t="s">
        <v>1595</v>
      </c>
      <c r="L432" t="s">
        <v>1597</v>
      </c>
      <c r="M432" t="str">
        <f>IF(Table1[[#This Row],[Quantity]]&gt;2,"Bulk Order","Normal Order")</f>
        <v>Normal Order</v>
      </c>
      <c r="N432" t="str">
        <f>_xlfn.CONCAT(Table1[[#This Row],[Category]],"-",Table1[[#This Row],[City]])</f>
        <v>Fitness-Kolkata</v>
      </c>
      <c r="O432" t="str">
        <f>LEFT(Table1[[#This Row],[Category]],3)</f>
        <v>Fit</v>
      </c>
      <c r="P432" s="2"/>
    </row>
    <row r="433" spans="1:16" x14ac:dyDescent="0.35">
      <c r="A433" t="s">
        <v>443</v>
      </c>
      <c r="B433" t="s">
        <v>1218</v>
      </c>
      <c r="C433" t="s">
        <v>1228</v>
      </c>
      <c r="D433">
        <v>3530</v>
      </c>
      <c r="E433">
        <v>4</v>
      </c>
      <c r="F433" t="s">
        <v>1303</v>
      </c>
      <c r="G433" t="s">
        <v>1588</v>
      </c>
      <c r="H433" t="s">
        <v>1590</v>
      </c>
      <c r="I433">
        <v>14120</v>
      </c>
      <c r="J433">
        <v>46</v>
      </c>
      <c r="K433" t="s">
        <v>1596</v>
      </c>
      <c r="L433" t="s">
        <v>1598</v>
      </c>
      <c r="M433" t="str">
        <f>IF(Table1[[#This Row],[Quantity]]&gt;2,"Bulk Order","Normal Order")</f>
        <v>Bulk Order</v>
      </c>
      <c r="N433" t="str">
        <f>_xlfn.CONCAT(Table1[[#This Row],[Category]],"-",Table1[[#This Row],[City]])</f>
        <v>Electronics-Delhi</v>
      </c>
      <c r="O433" t="str">
        <f>LEFT(Table1[[#This Row],[Category]],3)</f>
        <v>Ele</v>
      </c>
      <c r="P433" s="2"/>
    </row>
    <row r="434" spans="1:16" x14ac:dyDescent="0.35">
      <c r="A434" t="s">
        <v>444</v>
      </c>
      <c r="B434" t="s">
        <v>1215</v>
      </c>
      <c r="C434" t="s">
        <v>1227</v>
      </c>
      <c r="D434">
        <v>1738</v>
      </c>
      <c r="E434">
        <v>2</v>
      </c>
      <c r="F434" t="s">
        <v>1387</v>
      </c>
      <c r="G434" t="s">
        <v>1586</v>
      </c>
      <c r="H434" t="s">
        <v>1592</v>
      </c>
      <c r="I434">
        <v>3476</v>
      </c>
      <c r="J434">
        <v>79</v>
      </c>
      <c r="K434" t="s">
        <v>1594</v>
      </c>
      <c r="L434" t="s">
        <v>1598</v>
      </c>
      <c r="M434" t="str">
        <f>IF(Table1[[#This Row],[Quantity]]&gt;2,"Bulk Order","Normal Order")</f>
        <v>Normal Order</v>
      </c>
      <c r="N434" t="str">
        <f>_xlfn.CONCAT(Table1[[#This Row],[Category]],"-",Table1[[#This Row],[City]])</f>
        <v>Accessories-Hyderabad</v>
      </c>
      <c r="O434" t="str">
        <f>LEFT(Table1[[#This Row],[Category]],3)</f>
        <v>Acc</v>
      </c>
      <c r="P434" s="2"/>
    </row>
    <row r="435" spans="1:16" x14ac:dyDescent="0.35">
      <c r="A435" t="s">
        <v>445</v>
      </c>
      <c r="B435" t="s">
        <v>1214</v>
      </c>
      <c r="C435" t="s">
        <v>1227</v>
      </c>
      <c r="D435">
        <v>505</v>
      </c>
      <c r="E435">
        <v>2</v>
      </c>
      <c r="F435" t="s">
        <v>1275</v>
      </c>
      <c r="G435" t="s">
        <v>1586</v>
      </c>
      <c r="H435" t="s">
        <v>1592</v>
      </c>
      <c r="I435">
        <v>1010</v>
      </c>
      <c r="J435">
        <v>30</v>
      </c>
      <c r="K435" t="s">
        <v>1595</v>
      </c>
      <c r="L435" t="s">
        <v>1599</v>
      </c>
      <c r="M435" t="str">
        <f>IF(Table1[[#This Row],[Quantity]]&gt;2,"Bulk Order","Normal Order")</f>
        <v>Normal Order</v>
      </c>
      <c r="N435" t="str">
        <f>_xlfn.CONCAT(Table1[[#This Row],[Category]],"-",Table1[[#This Row],[City]])</f>
        <v>Accessories-Hyderabad</v>
      </c>
      <c r="O435" t="str">
        <f>LEFT(Table1[[#This Row],[Category]],3)</f>
        <v>Acc</v>
      </c>
      <c r="P435" s="2"/>
    </row>
    <row r="436" spans="1:16" x14ac:dyDescent="0.35">
      <c r="A436" t="s">
        <v>446</v>
      </c>
      <c r="B436" t="s">
        <v>1218</v>
      </c>
      <c r="C436" t="s">
        <v>1227</v>
      </c>
      <c r="D436">
        <v>4639</v>
      </c>
      <c r="E436">
        <v>1</v>
      </c>
      <c r="F436" t="s">
        <v>1328</v>
      </c>
      <c r="G436" t="s">
        <v>1585</v>
      </c>
      <c r="H436" t="s">
        <v>1590</v>
      </c>
      <c r="I436">
        <v>4639</v>
      </c>
      <c r="J436">
        <v>32</v>
      </c>
      <c r="K436" t="s">
        <v>1596</v>
      </c>
      <c r="L436" t="s">
        <v>1597</v>
      </c>
      <c r="M436" t="str">
        <f>IF(Table1[[#This Row],[Quantity]]&gt;2,"Bulk Order","Normal Order")</f>
        <v>Normal Order</v>
      </c>
      <c r="N436" t="str">
        <f>_xlfn.CONCAT(Table1[[#This Row],[Category]],"-",Table1[[#This Row],[City]])</f>
        <v>Accessories-Kolkata</v>
      </c>
      <c r="O436" t="str">
        <f>LEFT(Table1[[#This Row],[Category]],3)</f>
        <v>Acc</v>
      </c>
      <c r="P436" s="2"/>
    </row>
    <row r="437" spans="1:16" x14ac:dyDescent="0.35">
      <c r="A437" t="s">
        <v>447</v>
      </c>
      <c r="B437" t="s">
        <v>1216</v>
      </c>
      <c r="C437" t="s">
        <v>1226</v>
      </c>
      <c r="D437">
        <v>2249</v>
      </c>
      <c r="E437">
        <v>1</v>
      </c>
      <c r="F437" t="s">
        <v>1425</v>
      </c>
      <c r="G437" t="s">
        <v>1587</v>
      </c>
      <c r="H437" t="s">
        <v>1593</v>
      </c>
      <c r="I437">
        <v>2249</v>
      </c>
      <c r="J437">
        <v>20</v>
      </c>
      <c r="K437" t="s">
        <v>1596</v>
      </c>
      <c r="L437" t="s">
        <v>1599</v>
      </c>
      <c r="M437" t="str">
        <f>IF(Table1[[#This Row],[Quantity]]&gt;2,"Bulk Order","Normal Order")</f>
        <v>Normal Order</v>
      </c>
      <c r="N437" t="str">
        <f>_xlfn.CONCAT(Table1[[#This Row],[Category]],"-",Table1[[#This Row],[City]])</f>
        <v>Home-Mumbai</v>
      </c>
      <c r="O437" t="str">
        <f>LEFT(Table1[[#This Row],[Category]],3)</f>
        <v>Hom</v>
      </c>
      <c r="P437" s="2"/>
    </row>
    <row r="438" spans="1:16" x14ac:dyDescent="0.35">
      <c r="A438" t="s">
        <v>448</v>
      </c>
      <c r="B438" t="s">
        <v>1217</v>
      </c>
      <c r="C438" t="s">
        <v>1224</v>
      </c>
      <c r="D438">
        <v>4750</v>
      </c>
      <c r="E438">
        <v>4</v>
      </c>
      <c r="F438" t="s">
        <v>1422</v>
      </c>
      <c r="G438" t="s">
        <v>1586</v>
      </c>
      <c r="H438" t="s">
        <v>1590</v>
      </c>
      <c r="I438">
        <v>19000</v>
      </c>
      <c r="J438">
        <v>46</v>
      </c>
      <c r="K438" t="s">
        <v>1595</v>
      </c>
      <c r="L438" t="s">
        <v>1597</v>
      </c>
      <c r="M438" t="str">
        <f>IF(Table1[[#This Row],[Quantity]]&gt;2,"Bulk Order","Normal Order")</f>
        <v>Bulk Order</v>
      </c>
      <c r="N438" t="str">
        <f>_xlfn.CONCAT(Table1[[#This Row],[Category]],"-",Table1[[#This Row],[City]])</f>
        <v>Lifestyle-Hyderabad</v>
      </c>
      <c r="O438" t="str">
        <f>LEFT(Table1[[#This Row],[Category]],3)</f>
        <v>Lif</v>
      </c>
      <c r="P438" s="2"/>
    </row>
    <row r="439" spans="1:16" x14ac:dyDescent="0.35">
      <c r="A439" t="s">
        <v>449</v>
      </c>
      <c r="B439" t="s">
        <v>1222</v>
      </c>
      <c r="C439" t="s">
        <v>1226</v>
      </c>
      <c r="D439">
        <v>3056</v>
      </c>
      <c r="E439">
        <v>1</v>
      </c>
      <c r="F439" t="s">
        <v>1281</v>
      </c>
      <c r="G439" t="s">
        <v>1588</v>
      </c>
      <c r="H439" t="s">
        <v>1593</v>
      </c>
      <c r="I439">
        <v>3056</v>
      </c>
      <c r="J439">
        <v>43</v>
      </c>
      <c r="K439" t="s">
        <v>1595</v>
      </c>
      <c r="L439" t="s">
        <v>1598</v>
      </c>
      <c r="M439" t="str">
        <f>IF(Table1[[#This Row],[Quantity]]&gt;2,"Bulk Order","Normal Order")</f>
        <v>Normal Order</v>
      </c>
      <c r="N439" t="str">
        <f>_xlfn.CONCAT(Table1[[#This Row],[Category]],"-",Table1[[#This Row],[City]])</f>
        <v>Home-Delhi</v>
      </c>
      <c r="O439" t="str">
        <f>LEFT(Table1[[#This Row],[Category]],3)</f>
        <v>Hom</v>
      </c>
      <c r="P439" s="2"/>
    </row>
    <row r="440" spans="1:16" x14ac:dyDescent="0.35">
      <c r="A440" t="s">
        <v>450</v>
      </c>
      <c r="B440" t="s">
        <v>1213</v>
      </c>
      <c r="C440" t="s">
        <v>1224</v>
      </c>
      <c r="D440">
        <v>2069</v>
      </c>
      <c r="E440">
        <v>1</v>
      </c>
      <c r="F440" t="s">
        <v>1318</v>
      </c>
      <c r="G440" t="s">
        <v>1588</v>
      </c>
      <c r="H440" t="s">
        <v>1593</v>
      </c>
      <c r="I440">
        <v>2069</v>
      </c>
      <c r="J440">
        <v>66</v>
      </c>
      <c r="K440" t="s">
        <v>1595</v>
      </c>
      <c r="L440" t="s">
        <v>1598</v>
      </c>
      <c r="M440" t="str">
        <f>IF(Table1[[#This Row],[Quantity]]&gt;2,"Bulk Order","Normal Order")</f>
        <v>Normal Order</v>
      </c>
      <c r="N440" t="str">
        <f>_xlfn.CONCAT(Table1[[#This Row],[Category]],"-",Table1[[#This Row],[City]])</f>
        <v>Lifestyle-Delhi</v>
      </c>
      <c r="O440" t="str">
        <f>LEFT(Table1[[#This Row],[Category]],3)</f>
        <v>Lif</v>
      </c>
      <c r="P440" s="2"/>
    </row>
    <row r="441" spans="1:16" x14ac:dyDescent="0.35">
      <c r="A441" t="s">
        <v>451</v>
      </c>
      <c r="B441" t="s">
        <v>1222</v>
      </c>
      <c r="C441" t="s">
        <v>1228</v>
      </c>
      <c r="D441">
        <v>3535</v>
      </c>
      <c r="E441">
        <v>3</v>
      </c>
      <c r="F441" t="s">
        <v>1365</v>
      </c>
      <c r="G441" t="s">
        <v>1588</v>
      </c>
      <c r="H441" t="s">
        <v>1591</v>
      </c>
      <c r="I441">
        <v>10605</v>
      </c>
      <c r="J441">
        <v>20</v>
      </c>
      <c r="K441" t="s">
        <v>1595</v>
      </c>
      <c r="L441" t="s">
        <v>1598</v>
      </c>
      <c r="M441" t="str">
        <f>IF(Table1[[#This Row],[Quantity]]&gt;2,"Bulk Order","Normal Order")</f>
        <v>Bulk Order</v>
      </c>
      <c r="N441" t="str">
        <f>_xlfn.CONCAT(Table1[[#This Row],[Category]],"-",Table1[[#This Row],[City]])</f>
        <v>Electronics-Delhi</v>
      </c>
      <c r="O441" t="str">
        <f>LEFT(Table1[[#This Row],[Category]],3)</f>
        <v>Ele</v>
      </c>
      <c r="P441" s="2"/>
    </row>
    <row r="442" spans="1:16" x14ac:dyDescent="0.35">
      <c r="A442" t="s">
        <v>452</v>
      </c>
      <c r="B442" t="s">
        <v>1218</v>
      </c>
      <c r="C442" t="s">
        <v>1224</v>
      </c>
      <c r="D442">
        <v>451</v>
      </c>
      <c r="E442">
        <v>1</v>
      </c>
      <c r="F442" t="s">
        <v>1490</v>
      </c>
      <c r="G442" t="s">
        <v>1588</v>
      </c>
      <c r="H442" t="s">
        <v>1591</v>
      </c>
      <c r="I442">
        <v>451</v>
      </c>
      <c r="J442">
        <v>25</v>
      </c>
      <c r="K442" t="s">
        <v>1595</v>
      </c>
      <c r="L442" t="s">
        <v>1597</v>
      </c>
      <c r="M442" t="str">
        <f>IF(Table1[[#This Row],[Quantity]]&gt;2,"Bulk Order","Normal Order")</f>
        <v>Normal Order</v>
      </c>
      <c r="N442" t="str">
        <f>_xlfn.CONCAT(Table1[[#This Row],[Category]],"-",Table1[[#This Row],[City]])</f>
        <v>Lifestyle-Delhi</v>
      </c>
      <c r="O442" t="str">
        <f>LEFT(Table1[[#This Row],[Category]],3)</f>
        <v>Lif</v>
      </c>
      <c r="P442" s="2"/>
    </row>
    <row r="443" spans="1:16" x14ac:dyDescent="0.35">
      <c r="A443" t="s">
        <v>453</v>
      </c>
      <c r="B443" t="s">
        <v>1221</v>
      </c>
      <c r="C443" t="s">
        <v>1227</v>
      </c>
      <c r="D443">
        <v>2145</v>
      </c>
      <c r="E443">
        <v>4</v>
      </c>
      <c r="F443" t="s">
        <v>1281</v>
      </c>
      <c r="G443" t="s">
        <v>1584</v>
      </c>
      <c r="H443" t="s">
        <v>1593</v>
      </c>
      <c r="I443">
        <v>8580</v>
      </c>
      <c r="J443">
        <v>63</v>
      </c>
      <c r="K443" t="s">
        <v>1595</v>
      </c>
      <c r="L443" t="s">
        <v>1599</v>
      </c>
      <c r="M443" t="str">
        <f>IF(Table1[[#This Row],[Quantity]]&gt;2,"Bulk Order","Normal Order")</f>
        <v>Bulk Order</v>
      </c>
      <c r="N443" t="str">
        <f>_xlfn.CONCAT(Table1[[#This Row],[Category]],"-",Table1[[#This Row],[City]])</f>
        <v>Accessories-Chennai</v>
      </c>
      <c r="O443" t="str">
        <f>LEFT(Table1[[#This Row],[Category]],3)</f>
        <v>Acc</v>
      </c>
      <c r="P443" s="2"/>
    </row>
    <row r="444" spans="1:16" x14ac:dyDescent="0.35">
      <c r="A444" t="s">
        <v>454</v>
      </c>
      <c r="B444" t="s">
        <v>1212</v>
      </c>
      <c r="C444" t="s">
        <v>1226</v>
      </c>
      <c r="D444">
        <v>3139</v>
      </c>
      <c r="E444">
        <v>4</v>
      </c>
      <c r="F444" t="s">
        <v>1441</v>
      </c>
      <c r="G444" t="s">
        <v>1584</v>
      </c>
      <c r="H444" t="s">
        <v>1591</v>
      </c>
      <c r="I444">
        <v>12556</v>
      </c>
      <c r="J444">
        <v>54</v>
      </c>
      <c r="K444" t="s">
        <v>1595</v>
      </c>
      <c r="L444" t="s">
        <v>1599</v>
      </c>
      <c r="M444" t="str">
        <f>IF(Table1[[#This Row],[Quantity]]&gt;2,"Bulk Order","Normal Order")</f>
        <v>Bulk Order</v>
      </c>
      <c r="N444" t="str">
        <f>_xlfn.CONCAT(Table1[[#This Row],[Category]],"-",Table1[[#This Row],[City]])</f>
        <v>Home-Chennai</v>
      </c>
      <c r="O444" t="str">
        <f>LEFT(Table1[[#This Row],[Category]],3)</f>
        <v>Hom</v>
      </c>
      <c r="P444" s="2"/>
    </row>
    <row r="445" spans="1:16" x14ac:dyDescent="0.35">
      <c r="A445" t="s">
        <v>455</v>
      </c>
      <c r="B445" t="s">
        <v>1220</v>
      </c>
      <c r="C445" t="s">
        <v>1227</v>
      </c>
      <c r="D445">
        <v>3983</v>
      </c>
      <c r="E445">
        <v>4</v>
      </c>
      <c r="F445" t="s">
        <v>1348</v>
      </c>
      <c r="G445" t="s">
        <v>1585</v>
      </c>
      <c r="H445" t="s">
        <v>1590</v>
      </c>
      <c r="I445">
        <v>15932</v>
      </c>
      <c r="J445">
        <v>39</v>
      </c>
      <c r="K445" t="s">
        <v>1595</v>
      </c>
      <c r="L445" t="s">
        <v>1599</v>
      </c>
      <c r="M445" t="str">
        <f>IF(Table1[[#This Row],[Quantity]]&gt;2,"Bulk Order","Normal Order")</f>
        <v>Bulk Order</v>
      </c>
      <c r="N445" t="str">
        <f>_xlfn.CONCAT(Table1[[#This Row],[Category]],"-",Table1[[#This Row],[City]])</f>
        <v>Accessories-Kolkata</v>
      </c>
      <c r="O445" t="str">
        <f>LEFT(Table1[[#This Row],[Category]],3)</f>
        <v>Acc</v>
      </c>
      <c r="P445" s="2"/>
    </row>
    <row r="446" spans="1:16" x14ac:dyDescent="0.35">
      <c r="A446" t="s">
        <v>456</v>
      </c>
      <c r="B446" t="s">
        <v>1214</v>
      </c>
      <c r="C446" t="s">
        <v>1228</v>
      </c>
      <c r="D446">
        <v>2638</v>
      </c>
      <c r="E446">
        <v>2</v>
      </c>
      <c r="F446" t="s">
        <v>1491</v>
      </c>
      <c r="G446" t="s">
        <v>1585</v>
      </c>
      <c r="H446" t="s">
        <v>1590</v>
      </c>
      <c r="I446">
        <v>5276</v>
      </c>
      <c r="J446">
        <v>56</v>
      </c>
      <c r="K446" t="s">
        <v>1595</v>
      </c>
      <c r="L446" t="s">
        <v>1599</v>
      </c>
      <c r="M446" t="str">
        <f>IF(Table1[[#This Row],[Quantity]]&gt;2,"Bulk Order","Normal Order")</f>
        <v>Normal Order</v>
      </c>
      <c r="N446" t="str">
        <f>_xlfn.CONCAT(Table1[[#This Row],[Category]],"-",Table1[[#This Row],[City]])</f>
        <v>Electronics-Kolkata</v>
      </c>
      <c r="O446" t="str">
        <f>LEFT(Table1[[#This Row],[Category]],3)</f>
        <v>Ele</v>
      </c>
      <c r="P446" s="2"/>
    </row>
    <row r="447" spans="1:16" x14ac:dyDescent="0.35">
      <c r="A447" t="s">
        <v>457</v>
      </c>
      <c r="B447" t="s">
        <v>1213</v>
      </c>
      <c r="C447" t="s">
        <v>1227</v>
      </c>
      <c r="D447">
        <v>683</v>
      </c>
      <c r="E447">
        <v>3</v>
      </c>
      <c r="F447" t="s">
        <v>1260</v>
      </c>
      <c r="G447" t="s">
        <v>1587</v>
      </c>
      <c r="H447" t="s">
        <v>1591</v>
      </c>
      <c r="I447">
        <v>2049</v>
      </c>
      <c r="J447">
        <v>77</v>
      </c>
      <c r="K447" t="s">
        <v>1594</v>
      </c>
      <c r="L447" t="s">
        <v>1598</v>
      </c>
      <c r="M447" t="str">
        <f>IF(Table1[[#This Row],[Quantity]]&gt;2,"Bulk Order","Normal Order")</f>
        <v>Bulk Order</v>
      </c>
      <c r="N447" t="str">
        <f>_xlfn.CONCAT(Table1[[#This Row],[Category]],"-",Table1[[#This Row],[City]])</f>
        <v>Accessories-Mumbai</v>
      </c>
      <c r="O447" t="str">
        <f>LEFT(Table1[[#This Row],[Category]],3)</f>
        <v>Acc</v>
      </c>
      <c r="P447" s="2"/>
    </row>
    <row r="448" spans="1:16" x14ac:dyDescent="0.35">
      <c r="A448" t="s">
        <v>458</v>
      </c>
      <c r="B448" t="s">
        <v>1215</v>
      </c>
      <c r="C448" t="s">
        <v>1224</v>
      </c>
      <c r="D448">
        <v>1624</v>
      </c>
      <c r="E448">
        <v>1</v>
      </c>
      <c r="F448" t="s">
        <v>1474</v>
      </c>
      <c r="G448" t="s">
        <v>1588</v>
      </c>
      <c r="H448" t="s">
        <v>1593</v>
      </c>
      <c r="I448">
        <v>1624</v>
      </c>
      <c r="J448">
        <v>31</v>
      </c>
      <c r="K448" t="s">
        <v>1595</v>
      </c>
      <c r="L448" t="s">
        <v>1599</v>
      </c>
      <c r="M448" t="str">
        <f>IF(Table1[[#This Row],[Quantity]]&gt;2,"Bulk Order","Normal Order")</f>
        <v>Normal Order</v>
      </c>
      <c r="N448" t="str">
        <f>_xlfn.CONCAT(Table1[[#This Row],[Category]],"-",Table1[[#This Row],[City]])</f>
        <v>Lifestyle-Delhi</v>
      </c>
      <c r="O448" t="str">
        <f>LEFT(Table1[[#This Row],[Category]],3)</f>
        <v>Lif</v>
      </c>
      <c r="P448" s="2"/>
    </row>
    <row r="449" spans="1:16" x14ac:dyDescent="0.35">
      <c r="A449" t="s">
        <v>459</v>
      </c>
      <c r="B449" t="s">
        <v>1214</v>
      </c>
      <c r="C449" t="s">
        <v>1224</v>
      </c>
      <c r="D449">
        <v>2990</v>
      </c>
      <c r="E449">
        <v>1</v>
      </c>
      <c r="F449" t="s">
        <v>1332</v>
      </c>
      <c r="G449" t="s">
        <v>1586</v>
      </c>
      <c r="H449" t="s">
        <v>1590</v>
      </c>
      <c r="I449">
        <v>2990</v>
      </c>
      <c r="J449">
        <v>28</v>
      </c>
      <c r="K449" t="s">
        <v>1595</v>
      </c>
      <c r="L449" t="s">
        <v>1597</v>
      </c>
      <c r="M449" t="str">
        <f>IF(Table1[[#This Row],[Quantity]]&gt;2,"Bulk Order","Normal Order")</f>
        <v>Normal Order</v>
      </c>
      <c r="N449" t="str">
        <f>_xlfn.CONCAT(Table1[[#This Row],[Category]],"-",Table1[[#This Row],[City]])</f>
        <v>Lifestyle-Hyderabad</v>
      </c>
      <c r="O449" t="str">
        <f>LEFT(Table1[[#This Row],[Category]],3)</f>
        <v>Lif</v>
      </c>
      <c r="P449" s="2"/>
    </row>
    <row r="450" spans="1:16" x14ac:dyDescent="0.35">
      <c r="A450" t="s">
        <v>460</v>
      </c>
      <c r="B450" t="s">
        <v>1223</v>
      </c>
      <c r="C450" t="s">
        <v>1228</v>
      </c>
      <c r="D450">
        <v>774</v>
      </c>
      <c r="E450">
        <v>2</v>
      </c>
      <c r="F450" t="s">
        <v>1332</v>
      </c>
      <c r="G450" t="s">
        <v>1589</v>
      </c>
      <c r="H450" t="s">
        <v>1591</v>
      </c>
      <c r="I450">
        <v>1548</v>
      </c>
      <c r="J450">
        <v>96</v>
      </c>
      <c r="K450" t="s">
        <v>1595</v>
      </c>
      <c r="L450" t="s">
        <v>1599</v>
      </c>
      <c r="M450" t="str">
        <f>IF(Table1[[#This Row],[Quantity]]&gt;2,"Bulk Order","Normal Order")</f>
        <v>Normal Order</v>
      </c>
      <c r="N450" t="str">
        <f>_xlfn.CONCAT(Table1[[#This Row],[Category]],"-",Table1[[#This Row],[City]])</f>
        <v>Electronics-Bangalore</v>
      </c>
      <c r="O450" t="str">
        <f>LEFT(Table1[[#This Row],[Category]],3)</f>
        <v>Ele</v>
      </c>
      <c r="P450" s="2"/>
    </row>
    <row r="451" spans="1:16" x14ac:dyDescent="0.35">
      <c r="A451" t="s">
        <v>461</v>
      </c>
      <c r="B451" t="s">
        <v>1220</v>
      </c>
      <c r="C451" t="s">
        <v>1228</v>
      </c>
      <c r="D451">
        <v>4213</v>
      </c>
      <c r="E451">
        <v>4</v>
      </c>
      <c r="F451" t="s">
        <v>1480</v>
      </c>
      <c r="G451" t="s">
        <v>1585</v>
      </c>
      <c r="H451" t="s">
        <v>1590</v>
      </c>
      <c r="I451">
        <v>16852</v>
      </c>
      <c r="J451">
        <v>21</v>
      </c>
      <c r="K451" t="s">
        <v>1594</v>
      </c>
      <c r="L451" t="s">
        <v>1599</v>
      </c>
      <c r="M451" t="str">
        <f>IF(Table1[[#This Row],[Quantity]]&gt;2,"Bulk Order","Normal Order")</f>
        <v>Bulk Order</v>
      </c>
      <c r="N451" t="str">
        <f>_xlfn.CONCAT(Table1[[#This Row],[Category]],"-",Table1[[#This Row],[City]])</f>
        <v>Electronics-Kolkata</v>
      </c>
      <c r="O451" t="str">
        <f>LEFT(Table1[[#This Row],[Category]],3)</f>
        <v>Ele</v>
      </c>
      <c r="P451" s="2"/>
    </row>
    <row r="452" spans="1:16" x14ac:dyDescent="0.35">
      <c r="A452" t="s">
        <v>462</v>
      </c>
      <c r="B452" t="s">
        <v>1216</v>
      </c>
      <c r="C452" t="s">
        <v>1228</v>
      </c>
      <c r="D452">
        <v>3560</v>
      </c>
      <c r="E452">
        <v>4</v>
      </c>
      <c r="F452" t="s">
        <v>1355</v>
      </c>
      <c r="G452" t="s">
        <v>1584</v>
      </c>
      <c r="H452" t="s">
        <v>1592</v>
      </c>
      <c r="I452">
        <v>14240</v>
      </c>
      <c r="J452">
        <v>79</v>
      </c>
      <c r="K452" t="s">
        <v>1595</v>
      </c>
      <c r="L452" t="s">
        <v>1598</v>
      </c>
      <c r="M452" t="str">
        <f>IF(Table1[[#This Row],[Quantity]]&gt;2,"Bulk Order","Normal Order")</f>
        <v>Bulk Order</v>
      </c>
      <c r="N452" t="str">
        <f>_xlfn.CONCAT(Table1[[#This Row],[Category]],"-",Table1[[#This Row],[City]])</f>
        <v>Electronics-Chennai</v>
      </c>
      <c r="O452" t="str">
        <f>LEFT(Table1[[#This Row],[Category]],3)</f>
        <v>Ele</v>
      </c>
      <c r="P452" s="2"/>
    </row>
    <row r="453" spans="1:16" x14ac:dyDescent="0.35">
      <c r="A453" t="s">
        <v>463</v>
      </c>
      <c r="B453" t="s">
        <v>1212</v>
      </c>
      <c r="C453" t="s">
        <v>1228</v>
      </c>
      <c r="D453">
        <v>2463</v>
      </c>
      <c r="E453">
        <v>3</v>
      </c>
      <c r="F453" t="s">
        <v>1312</v>
      </c>
      <c r="G453" t="s">
        <v>1585</v>
      </c>
      <c r="H453" t="s">
        <v>1593</v>
      </c>
      <c r="I453">
        <v>7389</v>
      </c>
      <c r="J453">
        <v>51</v>
      </c>
      <c r="K453" t="s">
        <v>1594</v>
      </c>
      <c r="L453" t="s">
        <v>1597</v>
      </c>
      <c r="M453" t="str">
        <f>IF(Table1[[#This Row],[Quantity]]&gt;2,"Bulk Order","Normal Order")</f>
        <v>Bulk Order</v>
      </c>
      <c r="N453" t="str">
        <f>_xlfn.CONCAT(Table1[[#This Row],[Category]],"-",Table1[[#This Row],[City]])</f>
        <v>Electronics-Kolkata</v>
      </c>
      <c r="O453" t="str">
        <f>LEFT(Table1[[#This Row],[Category]],3)</f>
        <v>Ele</v>
      </c>
      <c r="P453" s="2"/>
    </row>
    <row r="454" spans="1:16" x14ac:dyDescent="0.35">
      <c r="A454" t="s">
        <v>464</v>
      </c>
      <c r="B454" t="s">
        <v>1220</v>
      </c>
      <c r="C454" t="s">
        <v>1228</v>
      </c>
      <c r="D454">
        <v>3294</v>
      </c>
      <c r="E454">
        <v>4</v>
      </c>
      <c r="F454" t="s">
        <v>1284</v>
      </c>
      <c r="G454" t="s">
        <v>1584</v>
      </c>
      <c r="H454" t="s">
        <v>1590</v>
      </c>
      <c r="I454">
        <v>13176</v>
      </c>
      <c r="J454">
        <v>87</v>
      </c>
      <c r="K454" t="s">
        <v>1595</v>
      </c>
      <c r="L454" t="s">
        <v>1597</v>
      </c>
      <c r="M454" t="str">
        <f>IF(Table1[[#This Row],[Quantity]]&gt;2,"Bulk Order","Normal Order")</f>
        <v>Bulk Order</v>
      </c>
      <c r="N454" t="str">
        <f>_xlfn.CONCAT(Table1[[#This Row],[Category]],"-",Table1[[#This Row],[City]])</f>
        <v>Electronics-Chennai</v>
      </c>
      <c r="O454" t="str">
        <f>LEFT(Table1[[#This Row],[Category]],3)</f>
        <v>Ele</v>
      </c>
      <c r="P454" s="2"/>
    </row>
    <row r="455" spans="1:16" x14ac:dyDescent="0.35">
      <c r="A455" t="s">
        <v>465</v>
      </c>
      <c r="B455" t="s">
        <v>1217</v>
      </c>
      <c r="C455" t="s">
        <v>1225</v>
      </c>
      <c r="D455">
        <v>2599</v>
      </c>
      <c r="E455">
        <v>1</v>
      </c>
      <c r="F455" t="s">
        <v>1345</v>
      </c>
      <c r="G455" t="s">
        <v>1585</v>
      </c>
      <c r="H455" t="s">
        <v>1591</v>
      </c>
      <c r="I455">
        <v>2599</v>
      </c>
      <c r="J455">
        <v>28</v>
      </c>
      <c r="K455" t="s">
        <v>1595</v>
      </c>
      <c r="L455" t="s">
        <v>1597</v>
      </c>
      <c r="M455" t="str">
        <f>IF(Table1[[#This Row],[Quantity]]&gt;2,"Bulk Order","Normal Order")</f>
        <v>Normal Order</v>
      </c>
      <c r="N455" t="str">
        <f>_xlfn.CONCAT(Table1[[#This Row],[Category]],"-",Table1[[#This Row],[City]])</f>
        <v>Fitness-Kolkata</v>
      </c>
      <c r="O455" t="str">
        <f>LEFT(Table1[[#This Row],[Category]],3)</f>
        <v>Fit</v>
      </c>
      <c r="P455" s="2"/>
    </row>
    <row r="456" spans="1:16" x14ac:dyDescent="0.35">
      <c r="A456" t="s">
        <v>466</v>
      </c>
      <c r="B456" t="s">
        <v>1217</v>
      </c>
      <c r="C456" t="s">
        <v>1227</v>
      </c>
      <c r="D456">
        <v>1742</v>
      </c>
      <c r="E456">
        <v>1</v>
      </c>
      <c r="F456" t="s">
        <v>1230</v>
      </c>
      <c r="G456" t="s">
        <v>1585</v>
      </c>
      <c r="H456" t="s">
        <v>1591</v>
      </c>
      <c r="I456">
        <v>1742</v>
      </c>
      <c r="J456">
        <v>40</v>
      </c>
      <c r="K456" t="s">
        <v>1595</v>
      </c>
      <c r="L456" t="s">
        <v>1597</v>
      </c>
      <c r="M456" t="str">
        <f>IF(Table1[[#This Row],[Quantity]]&gt;2,"Bulk Order","Normal Order")</f>
        <v>Normal Order</v>
      </c>
      <c r="N456" t="str">
        <f>_xlfn.CONCAT(Table1[[#This Row],[Category]],"-",Table1[[#This Row],[City]])</f>
        <v>Accessories-Kolkata</v>
      </c>
      <c r="O456" t="str">
        <f>LEFT(Table1[[#This Row],[Category]],3)</f>
        <v>Acc</v>
      </c>
      <c r="P456" s="2"/>
    </row>
    <row r="457" spans="1:16" x14ac:dyDescent="0.35">
      <c r="A457" t="s">
        <v>467</v>
      </c>
      <c r="B457" t="s">
        <v>1221</v>
      </c>
      <c r="C457" t="s">
        <v>1225</v>
      </c>
      <c r="D457">
        <v>1624</v>
      </c>
      <c r="E457">
        <v>4</v>
      </c>
      <c r="F457" t="s">
        <v>1394</v>
      </c>
      <c r="G457" t="s">
        <v>1588</v>
      </c>
      <c r="H457" t="s">
        <v>1592</v>
      </c>
      <c r="I457">
        <v>6496</v>
      </c>
      <c r="J457">
        <v>73</v>
      </c>
      <c r="K457" t="s">
        <v>1595</v>
      </c>
      <c r="L457" t="s">
        <v>1598</v>
      </c>
      <c r="M457" t="str">
        <f>IF(Table1[[#This Row],[Quantity]]&gt;2,"Bulk Order","Normal Order")</f>
        <v>Bulk Order</v>
      </c>
      <c r="N457" t="str">
        <f>_xlfn.CONCAT(Table1[[#This Row],[Category]],"-",Table1[[#This Row],[City]])</f>
        <v>Fitness-Delhi</v>
      </c>
      <c r="O457" t="str">
        <f>LEFT(Table1[[#This Row],[Category]],3)</f>
        <v>Fit</v>
      </c>
      <c r="P457" s="2"/>
    </row>
    <row r="458" spans="1:16" x14ac:dyDescent="0.35">
      <c r="A458" t="s">
        <v>468</v>
      </c>
      <c r="B458" t="s">
        <v>1223</v>
      </c>
      <c r="C458" t="s">
        <v>1225</v>
      </c>
      <c r="D458">
        <v>3029</v>
      </c>
      <c r="E458">
        <v>1</v>
      </c>
      <c r="F458" t="s">
        <v>1492</v>
      </c>
      <c r="G458" t="s">
        <v>1586</v>
      </c>
      <c r="H458" t="s">
        <v>1592</v>
      </c>
      <c r="I458">
        <v>3029</v>
      </c>
      <c r="J458">
        <v>40</v>
      </c>
      <c r="K458" t="s">
        <v>1594</v>
      </c>
      <c r="L458" t="s">
        <v>1597</v>
      </c>
      <c r="M458" t="str">
        <f>IF(Table1[[#This Row],[Quantity]]&gt;2,"Bulk Order","Normal Order")</f>
        <v>Normal Order</v>
      </c>
      <c r="N458" t="str">
        <f>_xlfn.CONCAT(Table1[[#This Row],[Category]],"-",Table1[[#This Row],[City]])</f>
        <v>Fitness-Hyderabad</v>
      </c>
      <c r="O458" t="str">
        <f>LEFT(Table1[[#This Row],[Category]],3)</f>
        <v>Fit</v>
      </c>
      <c r="P458" s="2"/>
    </row>
    <row r="459" spans="1:16" x14ac:dyDescent="0.35">
      <c r="A459" t="s">
        <v>469</v>
      </c>
      <c r="B459" t="s">
        <v>1218</v>
      </c>
      <c r="C459" t="s">
        <v>1224</v>
      </c>
      <c r="D459">
        <v>2194</v>
      </c>
      <c r="E459">
        <v>1</v>
      </c>
      <c r="F459" t="s">
        <v>1283</v>
      </c>
      <c r="G459" t="s">
        <v>1587</v>
      </c>
      <c r="H459" t="s">
        <v>1592</v>
      </c>
      <c r="I459">
        <v>2194</v>
      </c>
      <c r="J459">
        <v>50</v>
      </c>
      <c r="K459" t="s">
        <v>1595</v>
      </c>
      <c r="L459" t="s">
        <v>1599</v>
      </c>
      <c r="M459" t="str">
        <f>IF(Table1[[#This Row],[Quantity]]&gt;2,"Bulk Order","Normal Order")</f>
        <v>Normal Order</v>
      </c>
      <c r="N459" t="str">
        <f>_xlfn.CONCAT(Table1[[#This Row],[Category]],"-",Table1[[#This Row],[City]])</f>
        <v>Lifestyle-Mumbai</v>
      </c>
      <c r="O459" t="str">
        <f>LEFT(Table1[[#This Row],[Category]],3)</f>
        <v>Lif</v>
      </c>
      <c r="P459" s="2"/>
    </row>
    <row r="460" spans="1:16" x14ac:dyDescent="0.35">
      <c r="A460" t="s">
        <v>470</v>
      </c>
      <c r="B460" t="s">
        <v>1222</v>
      </c>
      <c r="C460" t="s">
        <v>1224</v>
      </c>
      <c r="D460">
        <v>4814</v>
      </c>
      <c r="E460">
        <v>1</v>
      </c>
      <c r="F460" t="s">
        <v>1401</v>
      </c>
      <c r="G460" t="s">
        <v>1589</v>
      </c>
      <c r="H460" t="s">
        <v>1591</v>
      </c>
      <c r="I460">
        <v>4814</v>
      </c>
      <c r="J460">
        <v>56</v>
      </c>
      <c r="K460" t="s">
        <v>1595</v>
      </c>
      <c r="L460" t="s">
        <v>1598</v>
      </c>
      <c r="M460" t="str">
        <f>IF(Table1[[#This Row],[Quantity]]&gt;2,"Bulk Order","Normal Order")</f>
        <v>Normal Order</v>
      </c>
      <c r="N460" t="str">
        <f>_xlfn.CONCAT(Table1[[#This Row],[Category]],"-",Table1[[#This Row],[City]])</f>
        <v>Lifestyle-Bangalore</v>
      </c>
      <c r="O460" t="str">
        <f>LEFT(Table1[[#This Row],[Category]],3)</f>
        <v>Lif</v>
      </c>
      <c r="P460" s="2"/>
    </row>
    <row r="461" spans="1:16" x14ac:dyDescent="0.35">
      <c r="A461" t="s">
        <v>471</v>
      </c>
      <c r="B461" t="s">
        <v>1216</v>
      </c>
      <c r="C461" t="s">
        <v>1224</v>
      </c>
      <c r="D461">
        <v>2161</v>
      </c>
      <c r="E461">
        <v>1</v>
      </c>
      <c r="F461" t="s">
        <v>1301</v>
      </c>
      <c r="G461" t="s">
        <v>1586</v>
      </c>
      <c r="H461" t="s">
        <v>1591</v>
      </c>
      <c r="I461">
        <v>2161</v>
      </c>
      <c r="J461">
        <v>25</v>
      </c>
      <c r="K461" t="s">
        <v>1595</v>
      </c>
      <c r="L461" t="s">
        <v>1599</v>
      </c>
      <c r="M461" t="str">
        <f>IF(Table1[[#This Row],[Quantity]]&gt;2,"Bulk Order","Normal Order")</f>
        <v>Normal Order</v>
      </c>
      <c r="N461" t="str">
        <f>_xlfn.CONCAT(Table1[[#This Row],[Category]],"-",Table1[[#This Row],[City]])</f>
        <v>Lifestyle-Hyderabad</v>
      </c>
      <c r="O461" t="str">
        <f>LEFT(Table1[[#This Row],[Category]],3)</f>
        <v>Lif</v>
      </c>
      <c r="P461" s="2"/>
    </row>
    <row r="462" spans="1:16" x14ac:dyDescent="0.35">
      <c r="A462" t="s">
        <v>472</v>
      </c>
      <c r="B462" t="s">
        <v>1217</v>
      </c>
      <c r="C462" t="s">
        <v>1224</v>
      </c>
      <c r="D462">
        <v>920</v>
      </c>
      <c r="E462">
        <v>1</v>
      </c>
      <c r="F462" t="s">
        <v>1453</v>
      </c>
      <c r="G462" t="s">
        <v>1589</v>
      </c>
      <c r="H462" t="s">
        <v>1592</v>
      </c>
      <c r="I462">
        <v>920</v>
      </c>
      <c r="J462">
        <v>35</v>
      </c>
      <c r="K462" t="s">
        <v>1594</v>
      </c>
      <c r="L462" t="s">
        <v>1599</v>
      </c>
      <c r="M462" t="str">
        <f>IF(Table1[[#This Row],[Quantity]]&gt;2,"Bulk Order","Normal Order")</f>
        <v>Normal Order</v>
      </c>
      <c r="N462" t="str">
        <f>_xlfn.CONCAT(Table1[[#This Row],[Category]],"-",Table1[[#This Row],[City]])</f>
        <v>Lifestyle-Bangalore</v>
      </c>
      <c r="O462" t="str">
        <f>LEFT(Table1[[#This Row],[Category]],3)</f>
        <v>Lif</v>
      </c>
      <c r="P462" s="2"/>
    </row>
    <row r="463" spans="1:16" x14ac:dyDescent="0.35">
      <c r="A463" t="s">
        <v>473</v>
      </c>
      <c r="B463" t="s">
        <v>1213</v>
      </c>
      <c r="C463" t="s">
        <v>1226</v>
      </c>
      <c r="D463">
        <v>2376</v>
      </c>
      <c r="E463">
        <v>1</v>
      </c>
      <c r="F463" t="s">
        <v>1367</v>
      </c>
      <c r="G463" t="s">
        <v>1584</v>
      </c>
      <c r="H463" t="s">
        <v>1592</v>
      </c>
      <c r="I463">
        <v>2376</v>
      </c>
      <c r="J463">
        <v>31</v>
      </c>
      <c r="K463" t="s">
        <v>1594</v>
      </c>
      <c r="L463" t="s">
        <v>1597</v>
      </c>
      <c r="M463" t="str">
        <f>IF(Table1[[#This Row],[Quantity]]&gt;2,"Bulk Order","Normal Order")</f>
        <v>Normal Order</v>
      </c>
      <c r="N463" t="str">
        <f>_xlfn.CONCAT(Table1[[#This Row],[Category]],"-",Table1[[#This Row],[City]])</f>
        <v>Home-Chennai</v>
      </c>
      <c r="O463" t="str">
        <f>LEFT(Table1[[#This Row],[Category]],3)</f>
        <v>Hom</v>
      </c>
      <c r="P463" s="2"/>
    </row>
    <row r="464" spans="1:16" x14ac:dyDescent="0.35">
      <c r="A464" t="s">
        <v>474</v>
      </c>
      <c r="B464" t="s">
        <v>1215</v>
      </c>
      <c r="C464" t="s">
        <v>1227</v>
      </c>
      <c r="D464">
        <v>4124</v>
      </c>
      <c r="E464">
        <v>4</v>
      </c>
      <c r="F464" t="s">
        <v>1290</v>
      </c>
      <c r="G464" t="s">
        <v>1588</v>
      </c>
      <c r="H464" t="s">
        <v>1591</v>
      </c>
      <c r="I464">
        <v>16496</v>
      </c>
      <c r="J464">
        <v>40</v>
      </c>
      <c r="K464" t="s">
        <v>1595</v>
      </c>
      <c r="L464" t="s">
        <v>1597</v>
      </c>
      <c r="M464" t="str">
        <f>IF(Table1[[#This Row],[Quantity]]&gt;2,"Bulk Order","Normal Order")</f>
        <v>Bulk Order</v>
      </c>
      <c r="N464" t="str">
        <f>_xlfn.CONCAT(Table1[[#This Row],[Category]],"-",Table1[[#This Row],[City]])</f>
        <v>Accessories-Delhi</v>
      </c>
      <c r="O464" t="str">
        <f>LEFT(Table1[[#This Row],[Category]],3)</f>
        <v>Acc</v>
      </c>
      <c r="P464" s="2"/>
    </row>
    <row r="465" spans="1:16" x14ac:dyDescent="0.35">
      <c r="A465" t="s">
        <v>475</v>
      </c>
      <c r="B465" t="s">
        <v>1218</v>
      </c>
      <c r="C465" t="s">
        <v>1228</v>
      </c>
      <c r="D465">
        <v>3033</v>
      </c>
      <c r="E465">
        <v>3</v>
      </c>
      <c r="F465" t="s">
        <v>1258</v>
      </c>
      <c r="G465" t="s">
        <v>1589</v>
      </c>
      <c r="H465" t="s">
        <v>1593</v>
      </c>
      <c r="I465">
        <v>9099</v>
      </c>
      <c r="J465">
        <v>84</v>
      </c>
      <c r="K465" t="s">
        <v>1595</v>
      </c>
      <c r="L465" t="s">
        <v>1599</v>
      </c>
      <c r="M465" t="str">
        <f>IF(Table1[[#This Row],[Quantity]]&gt;2,"Bulk Order","Normal Order")</f>
        <v>Bulk Order</v>
      </c>
      <c r="N465" t="str">
        <f>_xlfn.CONCAT(Table1[[#This Row],[Category]],"-",Table1[[#This Row],[City]])</f>
        <v>Electronics-Bangalore</v>
      </c>
      <c r="O465" t="str">
        <f>LEFT(Table1[[#This Row],[Category]],3)</f>
        <v>Ele</v>
      </c>
      <c r="P465" s="2"/>
    </row>
    <row r="466" spans="1:16" x14ac:dyDescent="0.35">
      <c r="A466" t="s">
        <v>476</v>
      </c>
      <c r="B466" t="s">
        <v>1222</v>
      </c>
      <c r="C466" t="s">
        <v>1224</v>
      </c>
      <c r="D466">
        <v>3553</v>
      </c>
      <c r="E466">
        <v>4</v>
      </c>
      <c r="F466" t="s">
        <v>1493</v>
      </c>
      <c r="G466" t="s">
        <v>1584</v>
      </c>
      <c r="H466" t="s">
        <v>1591</v>
      </c>
      <c r="I466">
        <v>14212</v>
      </c>
      <c r="J466">
        <v>33</v>
      </c>
      <c r="K466" t="s">
        <v>1595</v>
      </c>
      <c r="L466" t="s">
        <v>1599</v>
      </c>
      <c r="M466" t="str">
        <f>IF(Table1[[#This Row],[Quantity]]&gt;2,"Bulk Order","Normal Order")</f>
        <v>Bulk Order</v>
      </c>
      <c r="N466" t="str">
        <f>_xlfn.CONCAT(Table1[[#This Row],[Category]],"-",Table1[[#This Row],[City]])</f>
        <v>Lifestyle-Chennai</v>
      </c>
      <c r="O466" t="str">
        <f>LEFT(Table1[[#This Row],[Category]],3)</f>
        <v>Lif</v>
      </c>
      <c r="P466" s="2"/>
    </row>
    <row r="467" spans="1:16" x14ac:dyDescent="0.35">
      <c r="A467" t="s">
        <v>477</v>
      </c>
      <c r="B467" t="s">
        <v>1223</v>
      </c>
      <c r="C467" t="s">
        <v>1228</v>
      </c>
      <c r="D467">
        <v>4904</v>
      </c>
      <c r="E467">
        <v>1</v>
      </c>
      <c r="F467" t="s">
        <v>1494</v>
      </c>
      <c r="G467" t="s">
        <v>1589</v>
      </c>
      <c r="H467" t="s">
        <v>1591</v>
      </c>
      <c r="I467">
        <v>4904</v>
      </c>
      <c r="J467">
        <v>70</v>
      </c>
      <c r="K467" t="s">
        <v>1595</v>
      </c>
      <c r="L467" t="s">
        <v>1598</v>
      </c>
      <c r="M467" t="str">
        <f>IF(Table1[[#This Row],[Quantity]]&gt;2,"Bulk Order","Normal Order")</f>
        <v>Normal Order</v>
      </c>
      <c r="N467" t="str">
        <f>_xlfn.CONCAT(Table1[[#This Row],[Category]],"-",Table1[[#This Row],[City]])</f>
        <v>Electronics-Bangalore</v>
      </c>
      <c r="O467" t="str">
        <f>LEFT(Table1[[#This Row],[Category]],3)</f>
        <v>Ele</v>
      </c>
      <c r="P467" s="2"/>
    </row>
    <row r="468" spans="1:16" x14ac:dyDescent="0.35">
      <c r="A468" t="s">
        <v>478</v>
      </c>
      <c r="B468" t="s">
        <v>1219</v>
      </c>
      <c r="C468" t="s">
        <v>1225</v>
      </c>
      <c r="D468">
        <v>3571</v>
      </c>
      <c r="E468">
        <v>2</v>
      </c>
      <c r="F468" t="s">
        <v>1470</v>
      </c>
      <c r="G468" t="s">
        <v>1587</v>
      </c>
      <c r="H468" t="s">
        <v>1590</v>
      </c>
      <c r="I468">
        <v>7142</v>
      </c>
      <c r="J468">
        <v>25</v>
      </c>
      <c r="K468" t="s">
        <v>1595</v>
      </c>
      <c r="L468" t="s">
        <v>1598</v>
      </c>
      <c r="M468" t="str">
        <f>IF(Table1[[#This Row],[Quantity]]&gt;2,"Bulk Order","Normal Order")</f>
        <v>Normal Order</v>
      </c>
      <c r="N468" t="str">
        <f>_xlfn.CONCAT(Table1[[#This Row],[Category]],"-",Table1[[#This Row],[City]])</f>
        <v>Fitness-Mumbai</v>
      </c>
      <c r="O468" t="str">
        <f>LEFT(Table1[[#This Row],[Category]],3)</f>
        <v>Fit</v>
      </c>
      <c r="P468" s="2"/>
    </row>
    <row r="469" spans="1:16" x14ac:dyDescent="0.35">
      <c r="A469" t="s">
        <v>479</v>
      </c>
      <c r="B469" t="s">
        <v>1219</v>
      </c>
      <c r="C469" t="s">
        <v>1226</v>
      </c>
      <c r="D469">
        <v>3061</v>
      </c>
      <c r="E469">
        <v>1</v>
      </c>
      <c r="F469" t="s">
        <v>1364</v>
      </c>
      <c r="G469" t="s">
        <v>1587</v>
      </c>
      <c r="H469" t="s">
        <v>1590</v>
      </c>
      <c r="I469">
        <v>3061</v>
      </c>
      <c r="J469">
        <v>51</v>
      </c>
      <c r="K469" t="s">
        <v>1595</v>
      </c>
      <c r="L469" t="s">
        <v>1598</v>
      </c>
      <c r="M469" t="str">
        <f>IF(Table1[[#This Row],[Quantity]]&gt;2,"Bulk Order","Normal Order")</f>
        <v>Normal Order</v>
      </c>
      <c r="N469" t="str">
        <f>_xlfn.CONCAT(Table1[[#This Row],[Category]],"-",Table1[[#This Row],[City]])</f>
        <v>Home-Mumbai</v>
      </c>
      <c r="O469" t="str">
        <f>LEFT(Table1[[#This Row],[Category]],3)</f>
        <v>Hom</v>
      </c>
      <c r="P469" s="2"/>
    </row>
    <row r="470" spans="1:16" x14ac:dyDescent="0.35">
      <c r="A470" t="s">
        <v>480</v>
      </c>
      <c r="B470" t="s">
        <v>1217</v>
      </c>
      <c r="C470" t="s">
        <v>1228</v>
      </c>
      <c r="D470">
        <v>1139</v>
      </c>
      <c r="E470">
        <v>3</v>
      </c>
      <c r="F470" t="s">
        <v>1495</v>
      </c>
      <c r="G470" t="s">
        <v>1585</v>
      </c>
      <c r="H470" t="s">
        <v>1591</v>
      </c>
      <c r="I470">
        <v>3417</v>
      </c>
      <c r="J470">
        <v>76</v>
      </c>
      <c r="K470" t="s">
        <v>1595</v>
      </c>
      <c r="L470" t="s">
        <v>1599</v>
      </c>
      <c r="M470" t="str">
        <f>IF(Table1[[#This Row],[Quantity]]&gt;2,"Bulk Order","Normal Order")</f>
        <v>Bulk Order</v>
      </c>
      <c r="N470" t="str">
        <f>_xlfn.CONCAT(Table1[[#This Row],[Category]],"-",Table1[[#This Row],[City]])</f>
        <v>Electronics-Kolkata</v>
      </c>
      <c r="O470" t="str">
        <f>LEFT(Table1[[#This Row],[Category]],3)</f>
        <v>Ele</v>
      </c>
      <c r="P470" s="2"/>
    </row>
    <row r="471" spans="1:16" x14ac:dyDescent="0.35">
      <c r="A471" t="s">
        <v>481</v>
      </c>
      <c r="B471" t="s">
        <v>1220</v>
      </c>
      <c r="C471" t="s">
        <v>1227</v>
      </c>
      <c r="D471">
        <v>3250</v>
      </c>
      <c r="E471">
        <v>1</v>
      </c>
      <c r="F471" t="s">
        <v>1496</v>
      </c>
      <c r="G471" t="s">
        <v>1589</v>
      </c>
      <c r="H471" t="s">
        <v>1591</v>
      </c>
      <c r="I471">
        <v>3250</v>
      </c>
      <c r="J471">
        <v>41</v>
      </c>
      <c r="K471" t="s">
        <v>1595</v>
      </c>
      <c r="L471" t="s">
        <v>1598</v>
      </c>
      <c r="M471" t="str">
        <f>IF(Table1[[#This Row],[Quantity]]&gt;2,"Bulk Order","Normal Order")</f>
        <v>Normal Order</v>
      </c>
      <c r="N471" t="str">
        <f>_xlfn.CONCAT(Table1[[#This Row],[Category]],"-",Table1[[#This Row],[City]])</f>
        <v>Accessories-Bangalore</v>
      </c>
      <c r="O471" t="str">
        <f>LEFT(Table1[[#This Row],[Category]],3)</f>
        <v>Acc</v>
      </c>
      <c r="P471" s="2"/>
    </row>
    <row r="472" spans="1:16" x14ac:dyDescent="0.35">
      <c r="A472" t="s">
        <v>482</v>
      </c>
      <c r="B472" t="s">
        <v>1222</v>
      </c>
      <c r="C472" t="s">
        <v>1226</v>
      </c>
      <c r="D472">
        <v>734</v>
      </c>
      <c r="E472">
        <v>3</v>
      </c>
      <c r="F472" t="s">
        <v>1404</v>
      </c>
      <c r="G472" t="s">
        <v>1587</v>
      </c>
      <c r="H472" t="s">
        <v>1593</v>
      </c>
      <c r="I472">
        <v>2202</v>
      </c>
      <c r="J472">
        <v>96</v>
      </c>
      <c r="K472" t="s">
        <v>1595</v>
      </c>
      <c r="L472" t="s">
        <v>1599</v>
      </c>
      <c r="M472" t="str">
        <f>IF(Table1[[#This Row],[Quantity]]&gt;2,"Bulk Order","Normal Order")</f>
        <v>Bulk Order</v>
      </c>
      <c r="N472" t="str">
        <f>_xlfn.CONCAT(Table1[[#This Row],[Category]],"-",Table1[[#This Row],[City]])</f>
        <v>Home-Mumbai</v>
      </c>
      <c r="O472" t="str">
        <f>LEFT(Table1[[#This Row],[Category]],3)</f>
        <v>Hom</v>
      </c>
      <c r="P472" s="2"/>
    </row>
    <row r="473" spans="1:16" x14ac:dyDescent="0.35">
      <c r="A473" t="s">
        <v>483</v>
      </c>
      <c r="B473" t="s">
        <v>1220</v>
      </c>
      <c r="C473" t="s">
        <v>1224</v>
      </c>
      <c r="D473">
        <v>4576</v>
      </c>
      <c r="E473">
        <v>4</v>
      </c>
      <c r="F473" t="s">
        <v>1238</v>
      </c>
      <c r="G473" t="s">
        <v>1587</v>
      </c>
      <c r="H473" t="s">
        <v>1593</v>
      </c>
      <c r="I473">
        <v>18304</v>
      </c>
      <c r="J473">
        <v>75</v>
      </c>
      <c r="K473" t="s">
        <v>1595</v>
      </c>
      <c r="L473" t="s">
        <v>1599</v>
      </c>
      <c r="M473" t="str">
        <f>IF(Table1[[#This Row],[Quantity]]&gt;2,"Bulk Order","Normal Order")</f>
        <v>Bulk Order</v>
      </c>
      <c r="N473" t="str">
        <f>_xlfn.CONCAT(Table1[[#This Row],[Category]],"-",Table1[[#This Row],[City]])</f>
        <v>Lifestyle-Mumbai</v>
      </c>
      <c r="O473" t="str">
        <f>LEFT(Table1[[#This Row],[Category]],3)</f>
        <v>Lif</v>
      </c>
      <c r="P473" s="2"/>
    </row>
    <row r="474" spans="1:16" x14ac:dyDescent="0.35">
      <c r="A474" t="s">
        <v>484</v>
      </c>
      <c r="B474" t="s">
        <v>1217</v>
      </c>
      <c r="C474" t="s">
        <v>1227</v>
      </c>
      <c r="D474">
        <v>2588</v>
      </c>
      <c r="E474">
        <v>3</v>
      </c>
      <c r="F474" t="s">
        <v>1327</v>
      </c>
      <c r="G474" t="s">
        <v>1589</v>
      </c>
      <c r="H474" t="s">
        <v>1592</v>
      </c>
      <c r="I474">
        <v>7764</v>
      </c>
      <c r="J474">
        <v>96</v>
      </c>
      <c r="K474" t="s">
        <v>1595</v>
      </c>
      <c r="L474" t="s">
        <v>1599</v>
      </c>
      <c r="M474" t="str">
        <f>IF(Table1[[#This Row],[Quantity]]&gt;2,"Bulk Order","Normal Order")</f>
        <v>Bulk Order</v>
      </c>
      <c r="N474" t="str">
        <f>_xlfn.CONCAT(Table1[[#This Row],[Category]],"-",Table1[[#This Row],[City]])</f>
        <v>Accessories-Bangalore</v>
      </c>
      <c r="O474" t="str">
        <f>LEFT(Table1[[#This Row],[Category]],3)</f>
        <v>Acc</v>
      </c>
      <c r="P474" s="2"/>
    </row>
    <row r="475" spans="1:16" x14ac:dyDescent="0.35">
      <c r="A475" t="s">
        <v>485</v>
      </c>
      <c r="B475" t="s">
        <v>1220</v>
      </c>
      <c r="C475" t="s">
        <v>1226</v>
      </c>
      <c r="D475">
        <v>3690</v>
      </c>
      <c r="E475">
        <v>3</v>
      </c>
      <c r="F475" t="s">
        <v>1295</v>
      </c>
      <c r="G475" t="s">
        <v>1584</v>
      </c>
      <c r="H475" t="s">
        <v>1593</v>
      </c>
      <c r="I475">
        <v>11070</v>
      </c>
      <c r="J475">
        <v>59</v>
      </c>
      <c r="K475" t="s">
        <v>1594</v>
      </c>
      <c r="L475" t="s">
        <v>1599</v>
      </c>
      <c r="M475" t="str">
        <f>IF(Table1[[#This Row],[Quantity]]&gt;2,"Bulk Order","Normal Order")</f>
        <v>Bulk Order</v>
      </c>
      <c r="N475" t="str">
        <f>_xlfn.CONCAT(Table1[[#This Row],[Category]],"-",Table1[[#This Row],[City]])</f>
        <v>Home-Chennai</v>
      </c>
      <c r="O475" t="str">
        <f>LEFT(Table1[[#This Row],[Category]],3)</f>
        <v>Hom</v>
      </c>
      <c r="P475" s="2"/>
    </row>
    <row r="476" spans="1:16" x14ac:dyDescent="0.35">
      <c r="A476" t="s">
        <v>486</v>
      </c>
      <c r="B476" t="s">
        <v>1214</v>
      </c>
      <c r="C476" t="s">
        <v>1224</v>
      </c>
      <c r="D476">
        <v>3498</v>
      </c>
      <c r="E476">
        <v>4</v>
      </c>
      <c r="F476" t="s">
        <v>1497</v>
      </c>
      <c r="G476" t="s">
        <v>1584</v>
      </c>
      <c r="H476" t="s">
        <v>1591</v>
      </c>
      <c r="I476">
        <v>13992</v>
      </c>
      <c r="J476">
        <v>54</v>
      </c>
      <c r="K476" t="s">
        <v>1595</v>
      </c>
      <c r="L476" t="s">
        <v>1599</v>
      </c>
      <c r="M476" t="str">
        <f>IF(Table1[[#This Row],[Quantity]]&gt;2,"Bulk Order","Normal Order")</f>
        <v>Bulk Order</v>
      </c>
      <c r="N476" t="str">
        <f>_xlfn.CONCAT(Table1[[#This Row],[Category]],"-",Table1[[#This Row],[City]])</f>
        <v>Lifestyle-Chennai</v>
      </c>
      <c r="O476" t="str">
        <f>LEFT(Table1[[#This Row],[Category]],3)</f>
        <v>Lif</v>
      </c>
      <c r="P476" s="2"/>
    </row>
    <row r="477" spans="1:16" x14ac:dyDescent="0.35">
      <c r="A477" t="s">
        <v>487</v>
      </c>
      <c r="B477" t="s">
        <v>1221</v>
      </c>
      <c r="C477" t="s">
        <v>1224</v>
      </c>
      <c r="D477">
        <v>2439</v>
      </c>
      <c r="E477">
        <v>1</v>
      </c>
      <c r="F477" t="s">
        <v>1458</v>
      </c>
      <c r="G477" t="s">
        <v>1585</v>
      </c>
      <c r="H477" t="s">
        <v>1590</v>
      </c>
      <c r="I477">
        <v>2439</v>
      </c>
      <c r="J477">
        <v>74</v>
      </c>
      <c r="K477" t="s">
        <v>1594</v>
      </c>
      <c r="L477" t="s">
        <v>1599</v>
      </c>
      <c r="M477" t="str">
        <f>IF(Table1[[#This Row],[Quantity]]&gt;2,"Bulk Order","Normal Order")</f>
        <v>Normal Order</v>
      </c>
      <c r="N477" t="str">
        <f>_xlfn.CONCAT(Table1[[#This Row],[Category]],"-",Table1[[#This Row],[City]])</f>
        <v>Lifestyle-Kolkata</v>
      </c>
      <c r="O477" t="str">
        <f>LEFT(Table1[[#This Row],[Category]],3)</f>
        <v>Lif</v>
      </c>
      <c r="P477" s="2"/>
    </row>
    <row r="478" spans="1:16" x14ac:dyDescent="0.35">
      <c r="A478" t="s">
        <v>488</v>
      </c>
      <c r="B478" t="s">
        <v>1222</v>
      </c>
      <c r="C478" t="s">
        <v>1227</v>
      </c>
      <c r="D478">
        <v>322</v>
      </c>
      <c r="E478">
        <v>2</v>
      </c>
      <c r="F478" t="s">
        <v>1498</v>
      </c>
      <c r="G478" t="s">
        <v>1586</v>
      </c>
      <c r="H478" t="s">
        <v>1593</v>
      </c>
      <c r="I478">
        <v>644</v>
      </c>
      <c r="J478">
        <v>42</v>
      </c>
      <c r="K478" t="s">
        <v>1595</v>
      </c>
      <c r="L478" t="s">
        <v>1599</v>
      </c>
      <c r="M478" t="str">
        <f>IF(Table1[[#This Row],[Quantity]]&gt;2,"Bulk Order","Normal Order")</f>
        <v>Normal Order</v>
      </c>
      <c r="N478" t="str">
        <f>_xlfn.CONCAT(Table1[[#This Row],[Category]],"-",Table1[[#This Row],[City]])</f>
        <v>Accessories-Hyderabad</v>
      </c>
      <c r="O478" t="str">
        <f>LEFT(Table1[[#This Row],[Category]],3)</f>
        <v>Acc</v>
      </c>
      <c r="P478" s="2"/>
    </row>
    <row r="479" spans="1:16" x14ac:dyDescent="0.35">
      <c r="A479" t="s">
        <v>489</v>
      </c>
      <c r="B479" t="s">
        <v>1221</v>
      </c>
      <c r="C479" t="s">
        <v>1225</v>
      </c>
      <c r="D479">
        <v>3464</v>
      </c>
      <c r="E479">
        <v>4</v>
      </c>
      <c r="F479" t="s">
        <v>1499</v>
      </c>
      <c r="G479" t="s">
        <v>1585</v>
      </c>
      <c r="H479" t="s">
        <v>1591</v>
      </c>
      <c r="I479">
        <v>13856</v>
      </c>
      <c r="J479">
        <v>29</v>
      </c>
      <c r="K479" t="s">
        <v>1594</v>
      </c>
      <c r="L479" t="s">
        <v>1599</v>
      </c>
      <c r="M479" t="str">
        <f>IF(Table1[[#This Row],[Quantity]]&gt;2,"Bulk Order","Normal Order")</f>
        <v>Bulk Order</v>
      </c>
      <c r="N479" t="str">
        <f>_xlfn.CONCAT(Table1[[#This Row],[Category]],"-",Table1[[#This Row],[City]])</f>
        <v>Fitness-Kolkata</v>
      </c>
      <c r="O479" t="str">
        <f>LEFT(Table1[[#This Row],[Category]],3)</f>
        <v>Fit</v>
      </c>
      <c r="P479" s="2"/>
    </row>
    <row r="480" spans="1:16" x14ac:dyDescent="0.35">
      <c r="A480" t="s">
        <v>490</v>
      </c>
      <c r="B480" t="s">
        <v>1220</v>
      </c>
      <c r="C480" t="s">
        <v>1225</v>
      </c>
      <c r="D480">
        <v>3170</v>
      </c>
      <c r="E480">
        <v>1</v>
      </c>
      <c r="F480" t="s">
        <v>1500</v>
      </c>
      <c r="G480" t="s">
        <v>1587</v>
      </c>
      <c r="H480" t="s">
        <v>1592</v>
      </c>
      <c r="I480">
        <v>3170</v>
      </c>
      <c r="J480">
        <v>63</v>
      </c>
      <c r="K480" t="s">
        <v>1595</v>
      </c>
      <c r="L480" t="s">
        <v>1598</v>
      </c>
      <c r="M480" t="str">
        <f>IF(Table1[[#This Row],[Quantity]]&gt;2,"Bulk Order","Normal Order")</f>
        <v>Normal Order</v>
      </c>
      <c r="N480" t="str">
        <f>_xlfn.CONCAT(Table1[[#This Row],[Category]],"-",Table1[[#This Row],[City]])</f>
        <v>Fitness-Mumbai</v>
      </c>
      <c r="O480" t="str">
        <f>LEFT(Table1[[#This Row],[Category]],3)</f>
        <v>Fit</v>
      </c>
      <c r="P480" s="2"/>
    </row>
    <row r="481" spans="1:16" x14ac:dyDescent="0.35">
      <c r="A481" t="s">
        <v>491</v>
      </c>
      <c r="B481" t="s">
        <v>1214</v>
      </c>
      <c r="C481" t="s">
        <v>1227</v>
      </c>
      <c r="D481">
        <v>1605</v>
      </c>
      <c r="E481">
        <v>2</v>
      </c>
      <c r="F481" t="s">
        <v>1483</v>
      </c>
      <c r="G481" t="s">
        <v>1584</v>
      </c>
      <c r="H481" t="s">
        <v>1591</v>
      </c>
      <c r="I481">
        <v>3210</v>
      </c>
      <c r="J481">
        <v>35</v>
      </c>
      <c r="K481" t="s">
        <v>1596</v>
      </c>
      <c r="L481" t="s">
        <v>1599</v>
      </c>
      <c r="M481" t="str">
        <f>IF(Table1[[#This Row],[Quantity]]&gt;2,"Bulk Order","Normal Order")</f>
        <v>Normal Order</v>
      </c>
      <c r="N481" t="str">
        <f>_xlfn.CONCAT(Table1[[#This Row],[Category]],"-",Table1[[#This Row],[City]])</f>
        <v>Accessories-Chennai</v>
      </c>
      <c r="O481" t="str">
        <f>LEFT(Table1[[#This Row],[Category]],3)</f>
        <v>Acc</v>
      </c>
      <c r="P481" s="2"/>
    </row>
    <row r="482" spans="1:16" x14ac:dyDescent="0.35">
      <c r="A482" t="s">
        <v>492</v>
      </c>
      <c r="B482" t="s">
        <v>1218</v>
      </c>
      <c r="C482" t="s">
        <v>1228</v>
      </c>
      <c r="D482">
        <v>4123</v>
      </c>
      <c r="E482">
        <v>2</v>
      </c>
      <c r="F482" t="s">
        <v>1363</v>
      </c>
      <c r="G482" t="s">
        <v>1585</v>
      </c>
      <c r="H482" t="s">
        <v>1592</v>
      </c>
      <c r="I482">
        <v>8246</v>
      </c>
      <c r="J482">
        <v>55</v>
      </c>
      <c r="K482" t="s">
        <v>1595</v>
      </c>
      <c r="L482" t="s">
        <v>1598</v>
      </c>
      <c r="M482" t="str">
        <f>IF(Table1[[#This Row],[Quantity]]&gt;2,"Bulk Order","Normal Order")</f>
        <v>Normal Order</v>
      </c>
      <c r="N482" t="str">
        <f>_xlfn.CONCAT(Table1[[#This Row],[Category]],"-",Table1[[#This Row],[City]])</f>
        <v>Electronics-Kolkata</v>
      </c>
      <c r="O482" t="str">
        <f>LEFT(Table1[[#This Row],[Category]],3)</f>
        <v>Ele</v>
      </c>
      <c r="P482" s="2"/>
    </row>
    <row r="483" spans="1:16" x14ac:dyDescent="0.35">
      <c r="A483" t="s">
        <v>493</v>
      </c>
      <c r="B483" t="s">
        <v>1223</v>
      </c>
      <c r="C483" t="s">
        <v>1225</v>
      </c>
      <c r="D483">
        <v>269</v>
      </c>
      <c r="E483">
        <v>1</v>
      </c>
      <c r="F483" t="s">
        <v>1401</v>
      </c>
      <c r="G483" t="s">
        <v>1586</v>
      </c>
      <c r="H483" t="s">
        <v>1593</v>
      </c>
      <c r="I483">
        <v>269</v>
      </c>
      <c r="J483">
        <v>63</v>
      </c>
      <c r="K483" t="s">
        <v>1595</v>
      </c>
      <c r="L483" t="s">
        <v>1599</v>
      </c>
      <c r="M483" t="str">
        <f>IF(Table1[[#This Row],[Quantity]]&gt;2,"Bulk Order","Normal Order")</f>
        <v>Normal Order</v>
      </c>
      <c r="N483" t="str">
        <f>_xlfn.CONCAT(Table1[[#This Row],[Category]],"-",Table1[[#This Row],[City]])</f>
        <v>Fitness-Hyderabad</v>
      </c>
      <c r="O483" t="str">
        <f>LEFT(Table1[[#This Row],[Category]],3)</f>
        <v>Fit</v>
      </c>
      <c r="P483" s="2"/>
    </row>
    <row r="484" spans="1:16" x14ac:dyDescent="0.35">
      <c r="A484" t="s">
        <v>494</v>
      </c>
      <c r="B484" t="s">
        <v>1213</v>
      </c>
      <c r="C484" t="s">
        <v>1226</v>
      </c>
      <c r="D484">
        <v>3007</v>
      </c>
      <c r="E484">
        <v>3</v>
      </c>
      <c r="F484" t="s">
        <v>1499</v>
      </c>
      <c r="G484" t="s">
        <v>1585</v>
      </c>
      <c r="H484" t="s">
        <v>1593</v>
      </c>
      <c r="I484">
        <v>9021</v>
      </c>
      <c r="J484">
        <v>58</v>
      </c>
      <c r="K484" t="s">
        <v>1595</v>
      </c>
      <c r="L484" t="s">
        <v>1598</v>
      </c>
      <c r="M484" t="str">
        <f>IF(Table1[[#This Row],[Quantity]]&gt;2,"Bulk Order","Normal Order")</f>
        <v>Bulk Order</v>
      </c>
      <c r="N484" t="str">
        <f>_xlfn.CONCAT(Table1[[#This Row],[Category]],"-",Table1[[#This Row],[City]])</f>
        <v>Home-Kolkata</v>
      </c>
      <c r="O484" t="str">
        <f>LEFT(Table1[[#This Row],[Category]],3)</f>
        <v>Hom</v>
      </c>
      <c r="P484" s="2"/>
    </row>
    <row r="485" spans="1:16" x14ac:dyDescent="0.35">
      <c r="A485" t="s">
        <v>495</v>
      </c>
      <c r="B485" t="s">
        <v>1221</v>
      </c>
      <c r="C485" t="s">
        <v>1225</v>
      </c>
      <c r="D485">
        <v>4255</v>
      </c>
      <c r="E485">
        <v>2</v>
      </c>
      <c r="F485" t="s">
        <v>1497</v>
      </c>
      <c r="G485" t="s">
        <v>1587</v>
      </c>
      <c r="H485" t="s">
        <v>1592</v>
      </c>
      <c r="I485">
        <v>8510</v>
      </c>
      <c r="J485">
        <v>60</v>
      </c>
      <c r="K485" t="s">
        <v>1595</v>
      </c>
      <c r="L485" t="s">
        <v>1599</v>
      </c>
      <c r="M485" t="str">
        <f>IF(Table1[[#This Row],[Quantity]]&gt;2,"Bulk Order","Normal Order")</f>
        <v>Normal Order</v>
      </c>
      <c r="N485" t="str">
        <f>_xlfn.CONCAT(Table1[[#This Row],[Category]],"-",Table1[[#This Row],[City]])</f>
        <v>Fitness-Mumbai</v>
      </c>
      <c r="O485" t="str">
        <f>LEFT(Table1[[#This Row],[Category]],3)</f>
        <v>Fit</v>
      </c>
      <c r="P485" s="2"/>
    </row>
    <row r="486" spans="1:16" x14ac:dyDescent="0.35">
      <c r="A486" t="s">
        <v>496</v>
      </c>
      <c r="B486" t="s">
        <v>1212</v>
      </c>
      <c r="C486" t="s">
        <v>1226</v>
      </c>
      <c r="D486">
        <v>4960</v>
      </c>
      <c r="E486">
        <v>1</v>
      </c>
      <c r="F486" t="s">
        <v>1256</v>
      </c>
      <c r="G486" t="s">
        <v>1585</v>
      </c>
      <c r="H486" t="s">
        <v>1591</v>
      </c>
      <c r="I486">
        <v>4960</v>
      </c>
      <c r="J486">
        <v>50</v>
      </c>
      <c r="K486" t="s">
        <v>1595</v>
      </c>
      <c r="L486" t="s">
        <v>1599</v>
      </c>
      <c r="M486" t="str">
        <f>IF(Table1[[#This Row],[Quantity]]&gt;2,"Bulk Order","Normal Order")</f>
        <v>Normal Order</v>
      </c>
      <c r="N486" t="str">
        <f>_xlfn.CONCAT(Table1[[#This Row],[Category]],"-",Table1[[#This Row],[City]])</f>
        <v>Home-Kolkata</v>
      </c>
      <c r="O486" t="str">
        <f>LEFT(Table1[[#This Row],[Category]],3)</f>
        <v>Hom</v>
      </c>
      <c r="P486" s="2"/>
    </row>
    <row r="487" spans="1:16" x14ac:dyDescent="0.35">
      <c r="A487" t="s">
        <v>497</v>
      </c>
      <c r="B487" t="s">
        <v>1215</v>
      </c>
      <c r="C487" t="s">
        <v>1224</v>
      </c>
      <c r="D487">
        <v>4319</v>
      </c>
      <c r="E487">
        <v>1</v>
      </c>
      <c r="F487" t="s">
        <v>1251</v>
      </c>
      <c r="G487" t="s">
        <v>1585</v>
      </c>
      <c r="H487" t="s">
        <v>1592</v>
      </c>
      <c r="I487">
        <v>4319</v>
      </c>
      <c r="J487">
        <v>83</v>
      </c>
      <c r="K487" t="s">
        <v>1596</v>
      </c>
      <c r="L487" t="s">
        <v>1599</v>
      </c>
      <c r="M487" t="str">
        <f>IF(Table1[[#This Row],[Quantity]]&gt;2,"Bulk Order","Normal Order")</f>
        <v>Normal Order</v>
      </c>
      <c r="N487" t="str">
        <f>_xlfn.CONCAT(Table1[[#This Row],[Category]],"-",Table1[[#This Row],[City]])</f>
        <v>Lifestyle-Kolkata</v>
      </c>
      <c r="O487" t="str">
        <f>LEFT(Table1[[#This Row],[Category]],3)</f>
        <v>Lif</v>
      </c>
      <c r="P487" s="2"/>
    </row>
    <row r="488" spans="1:16" x14ac:dyDescent="0.35">
      <c r="A488" t="s">
        <v>498</v>
      </c>
      <c r="B488" t="s">
        <v>1212</v>
      </c>
      <c r="C488" t="s">
        <v>1225</v>
      </c>
      <c r="D488">
        <v>3778</v>
      </c>
      <c r="E488">
        <v>3</v>
      </c>
      <c r="F488" t="s">
        <v>1501</v>
      </c>
      <c r="G488" t="s">
        <v>1585</v>
      </c>
      <c r="H488" t="s">
        <v>1591</v>
      </c>
      <c r="I488">
        <v>11334</v>
      </c>
      <c r="J488">
        <v>69</v>
      </c>
      <c r="K488" t="s">
        <v>1595</v>
      </c>
      <c r="L488" t="s">
        <v>1597</v>
      </c>
      <c r="M488" t="str">
        <f>IF(Table1[[#This Row],[Quantity]]&gt;2,"Bulk Order","Normal Order")</f>
        <v>Bulk Order</v>
      </c>
      <c r="N488" t="str">
        <f>_xlfn.CONCAT(Table1[[#This Row],[Category]],"-",Table1[[#This Row],[City]])</f>
        <v>Fitness-Kolkata</v>
      </c>
      <c r="O488" t="str">
        <f>LEFT(Table1[[#This Row],[Category]],3)</f>
        <v>Fit</v>
      </c>
      <c r="P488" s="2"/>
    </row>
    <row r="489" spans="1:16" x14ac:dyDescent="0.35">
      <c r="A489" t="s">
        <v>499</v>
      </c>
      <c r="B489" t="s">
        <v>1215</v>
      </c>
      <c r="C489" t="s">
        <v>1226</v>
      </c>
      <c r="D489">
        <v>2190</v>
      </c>
      <c r="E489">
        <v>1</v>
      </c>
      <c r="F489" t="s">
        <v>1465</v>
      </c>
      <c r="G489" t="s">
        <v>1585</v>
      </c>
      <c r="H489" t="s">
        <v>1592</v>
      </c>
      <c r="I489">
        <v>2190</v>
      </c>
      <c r="J489">
        <v>91</v>
      </c>
      <c r="K489" t="s">
        <v>1595</v>
      </c>
      <c r="L489" t="s">
        <v>1597</v>
      </c>
      <c r="M489" t="str">
        <f>IF(Table1[[#This Row],[Quantity]]&gt;2,"Bulk Order","Normal Order")</f>
        <v>Normal Order</v>
      </c>
      <c r="N489" t="str">
        <f>_xlfn.CONCAT(Table1[[#This Row],[Category]],"-",Table1[[#This Row],[City]])</f>
        <v>Home-Kolkata</v>
      </c>
      <c r="O489" t="str">
        <f>LEFT(Table1[[#This Row],[Category]],3)</f>
        <v>Hom</v>
      </c>
      <c r="P489" s="2"/>
    </row>
    <row r="490" spans="1:16" x14ac:dyDescent="0.35">
      <c r="A490" t="s">
        <v>500</v>
      </c>
      <c r="B490" t="s">
        <v>1216</v>
      </c>
      <c r="C490" t="s">
        <v>1226</v>
      </c>
      <c r="D490">
        <v>1066</v>
      </c>
      <c r="E490">
        <v>3</v>
      </c>
      <c r="F490" t="s">
        <v>1491</v>
      </c>
      <c r="G490" t="s">
        <v>1586</v>
      </c>
      <c r="H490" t="s">
        <v>1592</v>
      </c>
      <c r="I490">
        <v>3198</v>
      </c>
      <c r="J490">
        <v>40</v>
      </c>
      <c r="K490" t="s">
        <v>1595</v>
      </c>
      <c r="L490" t="s">
        <v>1599</v>
      </c>
      <c r="M490" t="str">
        <f>IF(Table1[[#This Row],[Quantity]]&gt;2,"Bulk Order","Normal Order")</f>
        <v>Bulk Order</v>
      </c>
      <c r="N490" t="str">
        <f>_xlfn.CONCAT(Table1[[#This Row],[Category]],"-",Table1[[#This Row],[City]])</f>
        <v>Home-Hyderabad</v>
      </c>
      <c r="O490" t="str">
        <f>LEFT(Table1[[#This Row],[Category]],3)</f>
        <v>Hom</v>
      </c>
      <c r="P490" s="2"/>
    </row>
    <row r="491" spans="1:16" x14ac:dyDescent="0.35">
      <c r="A491" t="s">
        <v>501</v>
      </c>
      <c r="B491" t="s">
        <v>1214</v>
      </c>
      <c r="C491" t="s">
        <v>1225</v>
      </c>
      <c r="D491">
        <v>3577</v>
      </c>
      <c r="E491">
        <v>4</v>
      </c>
      <c r="F491" t="s">
        <v>1502</v>
      </c>
      <c r="G491" t="s">
        <v>1586</v>
      </c>
      <c r="H491" t="s">
        <v>1592</v>
      </c>
      <c r="I491">
        <v>14308</v>
      </c>
      <c r="J491">
        <v>75</v>
      </c>
      <c r="K491" t="s">
        <v>1595</v>
      </c>
      <c r="L491" t="s">
        <v>1597</v>
      </c>
      <c r="M491" t="str">
        <f>IF(Table1[[#This Row],[Quantity]]&gt;2,"Bulk Order","Normal Order")</f>
        <v>Bulk Order</v>
      </c>
      <c r="N491" t="str">
        <f>_xlfn.CONCAT(Table1[[#This Row],[Category]],"-",Table1[[#This Row],[City]])</f>
        <v>Fitness-Hyderabad</v>
      </c>
      <c r="O491" t="str">
        <f>LEFT(Table1[[#This Row],[Category]],3)</f>
        <v>Fit</v>
      </c>
      <c r="P491" s="2"/>
    </row>
    <row r="492" spans="1:16" x14ac:dyDescent="0.35">
      <c r="A492" t="s">
        <v>502</v>
      </c>
      <c r="B492" t="s">
        <v>1220</v>
      </c>
      <c r="C492" t="s">
        <v>1228</v>
      </c>
      <c r="D492">
        <v>4784</v>
      </c>
      <c r="E492">
        <v>1</v>
      </c>
      <c r="F492" t="s">
        <v>1503</v>
      </c>
      <c r="G492" t="s">
        <v>1589</v>
      </c>
      <c r="H492" t="s">
        <v>1592</v>
      </c>
      <c r="I492">
        <v>4784</v>
      </c>
      <c r="J492">
        <v>34</v>
      </c>
      <c r="K492" t="s">
        <v>1595</v>
      </c>
      <c r="L492" t="s">
        <v>1598</v>
      </c>
      <c r="M492" t="str">
        <f>IF(Table1[[#This Row],[Quantity]]&gt;2,"Bulk Order","Normal Order")</f>
        <v>Normal Order</v>
      </c>
      <c r="N492" t="str">
        <f>_xlfn.CONCAT(Table1[[#This Row],[Category]],"-",Table1[[#This Row],[City]])</f>
        <v>Electronics-Bangalore</v>
      </c>
      <c r="O492" t="str">
        <f>LEFT(Table1[[#This Row],[Category]],3)</f>
        <v>Ele</v>
      </c>
      <c r="P492" s="2"/>
    </row>
    <row r="493" spans="1:16" x14ac:dyDescent="0.35">
      <c r="A493" t="s">
        <v>503</v>
      </c>
      <c r="B493" t="s">
        <v>1215</v>
      </c>
      <c r="C493" t="s">
        <v>1225</v>
      </c>
      <c r="D493">
        <v>351</v>
      </c>
      <c r="E493">
        <v>1</v>
      </c>
      <c r="F493" t="s">
        <v>1334</v>
      </c>
      <c r="G493" t="s">
        <v>1588</v>
      </c>
      <c r="H493" t="s">
        <v>1590</v>
      </c>
      <c r="I493">
        <v>351</v>
      </c>
      <c r="J493">
        <v>60</v>
      </c>
      <c r="K493" t="s">
        <v>1594</v>
      </c>
      <c r="L493" t="s">
        <v>1599</v>
      </c>
      <c r="M493" t="str">
        <f>IF(Table1[[#This Row],[Quantity]]&gt;2,"Bulk Order","Normal Order")</f>
        <v>Normal Order</v>
      </c>
      <c r="N493" t="str">
        <f>_xlfn.CONCAT(Table1[[#This Row],[Category]],"-",Table1[[#This Row],[City]])</f>
        <v>Fitness-Delhi</v>
      </c>
      <c r="O493" t="str">
        <f>LEFT(Table1[[#This Row],[Category]],3)</f>
        <v>Fit</v>
      </c>
      <c r="P493" s="2"/>
    </row>
    <row r="494" spans="1:16" x14ac:dyDescent="0.35">
      <c r="A494" t="s">
        <v>504</v>
      </c>
      <c r="B494" t="s">
        <v>1216</v>
      </c>
      <c r="C494" t="s">
        <v>1227</v>
      </c>
      <c r="D494">
        <v>4755</v>
      </c>
      <c r="E494">
        <v>4</v>
      </c>
      <c r="F494" t="s">
        <v>1504</v>
      </c>
      <c r="G494" t="s">
        <v>1585</v>
      </c>
      <c r="H494" t="s">
        <v>1592</v>
      </c>
      <c r="I494">
        <v>19020</v>
      </c>
      <c r="J494">
        <v>94</v>
      </c>
      <c r="K494" t="s">
        <v>1595</v>
      </c>
      <c r="L494" t="s">
        <v>1598</v>
      </c>
      <c r="M494" t="str">
        <f>IF(Table1[[#This Row],[Quantity]]&gt;2,"Bulk Order","Normal Order")</f>
        <v>Bulk Order</v>
      </c>
      <c r="N494" t="str">
        <f>_xlfn.CONCAT(Table1[[#This Row],[Category]],"-",Table1[[#This Row],[City]])</f>
        <v>Accessories-Kolkata</v>
      </c>
      <c r="O494" t="str">
        <f>LEFT(Table1[[#This Row],[Category]],3)</f>
        <v>Acc</v>
      </c>
      <c r="P494" s="2"/>
    </row>
    <row r="495" spans="1:16" x14ac:dyDescent="0.35">
      <c r="A495" t="s">
        <v>505</v>
      </c>
      <c r="B495" t="s">
        <v>1220</v>
      </c>
      <c r="C495" t="s">
        <v>1228</v>
      </c>
      <c r="D495">
        <v>4336</v>
      </c>
      <c r="E495">
        <v>4</v>
      </c>
      <c r="F495" t="s">
        <v>1442</v>
      </c>
      <c r="G495" t="s">
        <v>1589</v>
      </c>
      <c r="H495" t="s">
        <v>1593</v>
      </c>
      <c r="I495">
        <v>17344</v>
      </c>
      <c r="J495">
        <v>72</v>
      </c>
      <c r="K495" t="s">
        <v>1594</v>
      </c>
      <c r="L495" t="s">
        <v>1599</v>
      </c>
      <c r="M495" t="str">
        <f>IF(Table1[[#This Row],[Quantity]]&gt;2,"Bulk Order","Normal Order")</f>
        <v>Bulk Order</v>
      </c>
      <c r="N495" t="str">
        <f>_xlfn.CONCAT(Table1[[#This Row],[Category]],"-",Table1[[#This Row],[City]])</f>
        <v>Electronics-Bangalore</v>
      </c>
      <c r="O495" t="str">
        <f>LEFT(Table1[[#This Row],[Category]],3)</f>
        <v>Ele</v>
      </c>
      <c r="P495" s="2"/>
    </row>
    <row r="496" spans="1:16" x14ac:dyDescent="0.35">
      <c r="A496" t="s">
        <v>506</v>
      </c>
      <c r="B496" t="s">
        <v>1215</v>
      </c>
      <c r="C496" t="s">
        <v>1226</v>
      </c>
      <c r="D496">
        <v>195</v>
      </c>
      <c r="E496">
        <v>3</v>
      </c>
      <c r="F496" t="s">
        <v>1505</v>
      </c>
      <c r="G496" t="s">
        <v>1585</v>
      </c>
      <c r="H496" t="s">
        <v>1590</v>
      </c>
      <c r="I496">
        <v>585</v>
      </c>
      <c r="J496">
        <v>64</v>
      </c>
      <c r="K496" t="s">
        <v>1594</v>
      </c>
      <c r="L496" t="s">
        <v>1599</v>
      </c>
      <c r="M496" t="str">
        <f>IF(Table1[[#This Row],[Quantity]]&gt;2,"Bulk Order","Normal Order")</f>
        <v>Bulk Order</v>
      </c>
      <c r="N496" t="str">
        <f>_xlfn.CONCAT(Table1[[#This Row],[Category]],"-",Table1[[#This Row],[City]])</f>
        <v>Home-Kolkata</v>
      </c>
      <c r="O496" t="str">
        <f>LEFT(Table1[[#This Row],[Category]],3)</f>
        <v>Hom</v>
      </c>
      <c r="P496" s="2"/>
    </row>
    <row r="497" spans="1:16" x14ac:dyDescent="0.35">
      <c r="A497" t="s">
        <v>507</v>
      </c>
      <c r="B497" t="s">
        <v>1215</v>
      </c>
      <c r="C497" t="s">
        <v>1225</v>
      </c>
      <c r="D497">
        <v>4000</v>
      </c>
      <c r="E497">
        <v>2</v>
      </c>
      <c r="F497" t="s">
        <v>1458</v>
      </c>
      <c r="G497" t="s">
        <v>1585</v>
      </c>
      <c r="H497" t="s">
        <v>1592</v>
      </c>
      <c r="I497">
        <v>8000</v>
      </c>
      <c r="J497">
        <v>71</v>
      </c>
      <c r="K497" t="s">
        <v>1594</v>
      </c>
      <c r="L497" t="s">
        <v>1597</v>
      </c>
      <c r="M497" t="str">
        <f>IF(Table1[[#This Row],[Quantity]]&gt;2,"Bulk Order","Normal Order")</f>
        <v>Normal Order</v>
      </c>
      <c r="N497" t="str">
        <f>_xlfn.CONCAT(Table1[[#This Row],[Category]],"-",Table1[[#This Row],[City]])</f>
        <v>Fitness-Kolkata</v>
      </c>
      <c r="O497" t="str">
        <f>LEFT(Table1[[#This Row],[Category]],3)</f>
        <v>Fit</v>
      </c>
      <c r="P497" s="2"/>
    </row>
    <row r="498" spans="1:16" x14ac:dyDescent="0.35">
      <c r="A498" t="s">
        <v>508</v>
      </c>
      <c r="B498" t="s">
        <v>1222</v>
      </c>
      <c r="C498" t="s">
        <v>1226</v>
      </c>
      <c r="D498">
        <v>3926</v>
      </c>
      <c r="E498">
        <v>2</v>
      </c>
      <c r="F498" t="s">
        <v>1232</v>
      </c>
      <c r="G498" t="s">
        <v>1584</v>
      </c>
      <c r="H498" t="s">
        <v>1593</v>
      </c>
      <c r="I498">
        <v>7852</v>
      </c>
      <c r="J498">
        <v>33</v>
      </c>
      <c r="K498" t="s">
        <v>1595</v>
      </c>
      <c r="L498" t="s">
        <v>1599</v>
      </c>
      <c r="M498" t="str">
        <f>IF(Table1[[#This Row],[Quantity]]&gt;2,"Bulk Order","Normal Order")</f>
        <v>Normal Order</v>
      </c>
      <c r="N498" t="str">
        <f>_xlfn.CONCAT(Table1[[#This Row],[Category]],"-",Table1[[#This Row],[City]])</f>
        <v>Home-Chennai</v>
      </c>
      <c r="O498" t="str">
        <f>LEFT(Table1[[#This Row],[Category]],3)</f>
        <v>Hom</v>
      </c>
      <c r="P498" s="2"/>
    </row>
    <row r="499" spans="1:16" x14ac:dyDescent="0.35">
      <c r="A499" t="s">
        <v>509</v>
      </c>
      <c r="B499" t="s">
        <v>1215</v>
      </c>
      <c r="C499" t="s">
        <v>1224</v>
      </c>
      <c r="D499">
        <v>4020</v>
      </c>
      <c r="E499">
        <v>4</v>
      </c>
      <c r="F499" t="s">
        <v>1307</v>
      </c>
      <c r="G499" t="s">
        <v>1584</v>
      </c>
      <c r="H499" t="s">
        <v>1590</v>
      </c>
      <c r="I499">
        <v>16080</v>
      </c>
      <c r="J499">
        <v>91</v>
      </c>
      <c r="K499" t="s">
        <v>1595</v>
      </c>
      <c r="L499" t="s">
        <v>1598</v>
      </c>
      <c r="M499" t="str">
        <f>IF(Table1[[#This Row],[Quantity]]&gt;2,"Bulk Order","Normal Order")</f>
        <v>Bulk Order</v>
      </c>
      <c r="N499" t="str">
        <f>_xlfn.CONCAT(Table1[[#This Row],[Category]],"-",Table1[[#This Row],[City]])</f>
        <v>Lifestyle-Chennai</v>
      </c>
      <c r="O499" t="str">
        <f>LEFT(Table1[[#This Row],[Category]],3)</f>
        <v>Lif</v>
      </c>
      <c r="P499" s="2"/>
    </row>
    <row r="500" spans="1:16" x14ac:dyDescent="0.35">
      <c r="A500" t="s">
        <v>510</v>
      </c>
      <c r="B500" t="s">
        <v>1219</v>
      </c>
      <c r="C500" t="s">
        <v>1226</v>
      </c>
      <c r="D500">
        <v>3053</v>
      </c>
      <c r="E500">
        <v>2</v>
      </c>
      <c r="F500" t="s">
        <v>1456</v>
      </c>
      <c r="G500" t="s">
        <v>1589</v>
      </c>
      <c r="H500" t="s">
        <v>1590</v>
      </c>
      <c r="I500">
        <v>6106</v>
      </c>
      <c r="J500">
        <v>34</v>
      </c>
      <c r="K500" t="s">
        <v>1595</v>
      </c>
      <c r="L500" t="s">
        <v>1599</v>
      </c>
      <c r="M500" t="str">
        <f>IF(Table1[[#This Row],[Quantity]]&gt;2,"Bulk Order","Normal Order")</f>
        <v>Normal Order</v>
      </c>
      <c r="N500" t="str">
        <f>_xlfn.CONCAT(Table1[[#This Row],[Category]],"-",Table1[[#This Row],[City]])</f>
        <v>Home-Bangalore</v>
      </c>
      <c r="O500" t="str">
        <f>LEFT(Table1[[#This Row],[Category]],3)</f>
        <v>Hom</v>
      </c>
      <c r="P500" s="2"/>
    </row>
    <row r="501" spans="1:16" x14ac:dyDescent="0.35">
      <c r="A501" t="s">
        <v>511</v>
      </c>
      <c r="B501" t="s">
        <v>1220</v>
      </c>
      <c r="C501" t="s">
        <v>1225</v>
      </c>
      <c r="D501">
        <v>4903</v>
      </c>
      <c r="E501">
        <v>4</v>
      </c>
      <c r="F501" t="s">
        <v>1399</v>
      </c>
      <c r="G501" t="s">
        <v>1585</v>
      </c>
      <c r="H501" t="s">
        <v>1593</v>
      </c>
      <c r="I501">
        <v>19612</v>
      </c>
      <c r="J501">
        <v>49</v>
      </c>
      <c r="K501" t="s">
        <v>1595</v>
      </c>
      <c r="L501" t="s">
        <v>1598</v>
      </c>
      <c r="M501" t="str">
        <f>IF(Table1[[#This Row],[Quantity]]&gt;2,"Bulk Order","Normal Order")</f>
        <v>Bulk Order</v>
      </c>
      <c r="N501" t="str">
        <f>_xlfn.CONCAT(Table1[[#This Row],[Category]],"-",Table1[[#This Row],[City]])</f>
        <v>Fitness-Kolkata</v>
      </c>
      <c r="O501" t="str">
        <f>LEFT(Table1[[#This Row],[Category]],3)</f>
        <v>Fit</v>
      </c>
      <c r="P501" s="2"/>
    </row>
    <row r="502" spans="1:16" x14ac:dyDescent="0.35">
      <c r="A502" t="s">
        <v>512</v>
      </c>
      <c r="B502" t="s">
        <v>1222</v>
      </c>
      <c r="C502" t="s">
        <v>1228</v>
      </c>
      <c r="D502">
        <v>2467</v>
      </c>
      <c r="E502">
        <v>3</v>
      </c>
      <c r="F502" t="s">
        <v>1310</v>
      </c>
      <c r="G502" t="s">
        <v>1587</v>
      </c>
      <c r="H502" t="s">
        <v>1591</v>
      </c>
      <c r="I502">
        <v>7401</v>
      </c>
      <c r="J502">
        <v>97</v>
      </c>
      <c r="K502" t="s">
        <v>1595</v>
      </c>
      <c r="L502" t="s">
        <v>1599</v>
      </c>
      <c r="M502" t="str">
        <f>IF(Table1[[#This Row],[Quantity]]&gt;2,"Bulk Order","Normal Order")</f>
        <v>Bulk Order</v>
      </c>
      <c r="N502" t="str">
        <f>_xlfn.CONCAT(Table1[[#This Row],[Category]],"-",Table1[[#This Row],[City]])</f>
        <v>Electronics-Mumbai</v>
      </c>
      <c r="O502" t="str">
        <f>LEFT(Table1[[#This Row],[Category]],3)</f>
        <v>Ele</v>
      </c>
      <c r="P502" s="2"/>
    </row>
    <row r="503" spans="1:16" x14ac:dyDescent="0.35">
      <c r="A503" t="s">
        <v>513</v>
      </c>
      <c r="B503" t="s">
        <v>1213</v>
      </c>
      <c r="C503" t="s">
        <v>1227</v>
      </c>
      <c r="D503">
        <v>2384</v>
      </c>
      <c r="E503">
        <v>3</v>
      </c>
      <c r="F503" t="s">
        <v>1506</v>
      </c>
      <c r="G503" t="s">
        <v>1584</v>
      </c>
      <c r="H503" t="s">
        <v>1593</v>
      </c>
      <c r="I503">
        <v>7152</v>
      </c>
      <c r="J503">
        <v>91</v>
      </c>
      <c r="K503" t="s">
        <v>1595</v>
      </c>
      <c r="L503" t="s">
        <v>1597</v>
      </c>
      <c r="M503" t="str">
        <f>IF(Table1[[#This Row],[Quantity]]&gt;2,"Bulk Order","Normal Order")</f>
        <v>Bulk Order</v>
      </c>
      <c r="N503" t="str">
        <f>_xlfn.CONCAT(Table1[[#This Row],[Category]],"-",Table1[[#This Row],[City]])</f>
        <v>Accessories-Chennai</v>
      </c>
      <c r="O503" t="str">
        <f>LEFT(Table1[[#This Row],[Category]],3)</f>
        <v>Acc</v>
      </c>
      <c r="P503" s="2"/>
    </row>
    <row r="504" spans="1:16" x14ac:dyDescent="0.35">
      <c r="A504" t="s">
        <v>514</v>
      </c>
      <c r="B504" t="s">
        <v>1212</v>
      </c>
      <c r="C504" t="s">
        <v>1226</v>
      </c>
      <c r="D504">
        <v>4460</v>
      </c>
      <c r="E504">
        <v>1</v>
      </c>
      <c r="F504" t="s">
        <v>1507</v>
      </c>
      <c r="G504" t="s">
        <v>1586</v>
      </c>
      <c r="H504" t="s">
        <v>1592</v>
      </c>
      <c r="I504">
        <v>4460</v>
      </c>
      <c r="J504">
        <v>39</v>
      </c>
      <c r="K504" t="s">
        <v>1595</v>
      </c>
      <c r="L504" t="s">
        <v>1598</v>
      </c>
      <c r="M504" t="str">
        <f>IF(Table1[[#This Row],[Quantity]]&gt;2,"Bulk Order","Normal Order")</f>
        <v>Normal Order</v>
      </c>
      <c r="N504" t="str">
        <f>_xlfn.CONCAT(Table1[[#This Row],[Category]],"-",Table1[[#This Row],[City]])</f>
        <v>Home-Hyderabad</v>
      </c>
      <c r="O504" t="str">
        <f>LEFT(Table1[[#This Row],[Category]],3)</f>
        <v>Hom</v>
      </c>
      <c r="P504" s="2"/>
    </row>
    <row r="505" spans="1:16" x14ac:dyDescent="0.35">
      <c r="A505" t="s">
        <v>515</v>
      </c>
      <c r="B505" t="s">
        <v>1213</v>
      </c>
      <c r="C505" t="s">
        <v>1228</v>
      </c>
      <c r="D505">
        <v>3774</v>
      </c>
      <c r="E505">
        <v>1</v>
      </c>
      <c r="F505" t="s">
        <v>1457</v>
      </c>
      <c r="G505" t="s">
        <v>1584</v>
      </c>
      <c r="H505" t="s">
        <v>1591</v>
      </c>
      <c r="I505">
        <v>3774</v>
      </c>
      <c r="J505">
        <v>65</v>
      </c>
      <c r="K505" t="s">
        <v>1594</v>
      </c>
      <c r="L505" t="s">
        <v>1597</v>
      </c>
      <c r="M505" t="str">
        <f>IF(Table1[[#This Row],[Quantity]]&gt;2,"Bulk Order","Normal Order")</f>
        <v>Normal Order</v>
      </c>
      <c r="N505" t="str">
        <f>_xlfn.CONCAT(Table1[[#This Row],[Category]],"-",Table1[[#This Row],[City]])</f>
        <v>Electronics-Chennai</v>
      </c>
      <c r="O505" t="str">
        <f>LEFT(Table1[[#This Row],[Category]],3)</f>
        <v>Ele</v>
      </c>
      <c r="P505" s="2"/>
    </row>
    <row r="506" spans="1:16" x14ac:dyDescent="0.35">
      <c r="A506" t="s">
        <v>516</v>
      </c>
      <c r="B506" t="s">
        <v>1218</v>
      </c>
      <c r="C506" t="s">
        <v>1224</v>
      </c>
      <c r="D506">
        <v>3881</v>
      </c>
      <c r="E506">
        <v>1</v>
      </c>
      <c r="F506" t="s">
        <v>1358</v>
      </c>
      <c r="G506" t="s">
        <v>1588</v>
      </c>
      <c r="H506" t="s">
        <v>1593</v>
      </c>
      <c r="I506">
        <v>3881</v>
      </c>
      <c r="J506">
        <v>70</v>
      </c>
      <c r="K506" t="s">
        <v>1595</v>
      </c>
      <c r="L506" t="s">
        <v>1598</v>
      </c>
      <c r="M506" t="str">
        <f>IF(Table1[[#This Row],[Quantity]]&gt;2,"Bulk Order","Normal Order")</f>
        <v>Normal Order</v>
      </c>
      <c r="N506" t="str">
        <f>_xlfn.CONCAT(Table1[[#This Row],[Category]],"-",Table1[[#This Row],[City]])</f>
        <v>Lifestyle-Delhi</v>
      </c>
      <c r="O506" t="str">
        <f>LEFT(Table1[[#This Row],[Category]],3)</f>
        <v>Lif</v>
      </c>
      <c r="P506" s="2"/>
    </row>
    <row r="507" spans="1:16" x14ac:dyDescent="0.35">
      <c r="A507" t="s">
        <v>517</v>
      </c>
      <c r="B507" t="s">
        <v>1220</v>
      </c>
      <c r="C507" t="s">
        <v>1228</v>
      </c>
      <c r="D507">
        <v>4209</v>
      </c>
      <c r="E507">
        <v>1</v>
      </c>
      <c r="F507" t="s">
        <v>1273</v>
      </c>
      <c r="G507" t="s">
        <v>1587</v>
      </c>
      <c r="H507" t="s">
        <v>1590</v>
      </c>
      <c r="I507">
        <v>4209</v>
      </c>
      <c r="J507">
        <v>74</v>
      </c>
      <c r="K507" t="s">
        <v>1595</v>
      </c>
      <c r="L507" t="s">
        <v>1599</v>
      </c>
      <c r="M507" t="str">
        <f>IF(Table1[[#This Row],[Quantity]]&gt;2,"Bulk Order","Normal Order")</f>
        <v>Normal Order</v>
      </c>
      <c r="N507" t="str">
        <f>_xlfn.CONCAT(Table1[[#This Row],[Category]],"-",Table1[[#This Row],[City]])</f>
        <v>Electronics-Mumbai</v>
      </c>
      <c r="O507" t="str">
        <f>LEFT(Table1[[#This Row],[Category]],3)</f>
        <v>Ele</v>
      </c>
      <c r="P507" s="2"/>
    </row>
    <row r="508" spans="1:16" x14ac:dyDescent="0.35">
      <c r="A508" t="s">
        <v>518</v>
      </c>
      <c r="B508" t="s">
        <v>1219</v>
      </c>
      <c r="C508" t="s">
        <v>1226</v>
      </c>
      <c r="D508">
        <v>3218</v>
      </c>
      <c r="E508">
        <v>3</v>
      </c>
      <c r="F508" t="s">
        <v>1421</v>
      </c>
      <c r="G508" t="s">
        <v>1589</v>
      </c>
      <c r="H508" t="s">
        <v>1592</v>
      </c>
      <c r="I508">
        <v>9654</v>
      </c>
      <c r="J508">
        <v>63</v>
      </c>
      <c r="K508" t="s">
        <v>1595</v>
      </c>
      <c r="L508" t="s">
        <v>1599</v>
      </c>
      <c r="M508" t="str">
        <f>IF(Table1[[#This Row],[Quantity]]&gt;2,"Bulk Order","Normal Order")</f>
        <v>Bulk Order</v>
      </c>
      <c r="N508" t="str">
        <f>_xlfn.CONCAT(Table1[[#This Row],[Category]],"-",Table1[[#This Row],[City]])</f>
        <v>Home-Bangalore</v>
      </c>
      <c r="O508" t="str">
        <f>LEFT(Table1[[#This Row],[Category]],3)</f>
        <v>Hom</v>
      </c>
      <c r="P508" s="2"/>
    </row>
    <row r="509" spans="1:16" x14ac:dyDescent="0.35">
      <c r="A509" t="s">
        <v>519</v>
      </c>
      <c r="B509" t="s">
        <v>1219</v>
      </c>
      <c r="C509" t="s">
        <v>1227</v>
      </c>
      <c r="D509">
        <v>1977</v>
      </c>
      <c r="E509">
        <v>3</v>
      </c>
      <c r="F509" t="s">
        <v>1508</v>
      </c>
      <c r="G509" t="s">
        <v>1585</v>
      </c>
      <c r="H509" t="s">
        <v>1590</v>
      </c>
      <c r="I509">
        <v>5931</v>
      </c>
      <c r="J509">
        <v>91</v>
      </c>
      <c r="K509" t="s">
        <v>1595</v>
      </c>
      <c r="L509" t="s">
        <v>1599</v>
      </c>
      <c r="M509" t="str">
        <f>IF(Table1[[#This Row],[Quantity]]&gt;2,"Bulk Order","Normal Order")</f>
        <v>Bulk Order</v>
      </c>
      <c r="N509" t="str">
        <f>_xlfn.CONCAT(Table1[[#This Row],[Category]],"-",Table1[[#This Row],[City]])</f>
        <v>Accessories-Kolkata</v>
      </c>
      <c r="O509" t="str">
        <f>LEFT(Table1[[#This Row],[Category]],3)</f>
        <v>Acc</v>
      </c>
      <c r="P509" s="2"/>
    </row>
    <row r="510" spans="1:16" x14ac:dyDescent="0.35">
      <c r="A510" t="s">
        <v>520</v>
      </c>
      <c r="B510" t="s">
        <v>1220</v>
      </c>
      <c r="C510" t="s">
        <v>1227</v>
      </c>
      <c r="D510">
        <v>3458</v>
      </c>
      <c r="E510">
        <v>1</v>
      </c>
      <c r="F510" t="s">
        <v>1461</v>
      </c>
      <c r="G510" t="s">
        <v>1587</v>
      </c>
      <c r="H510" t="s">
        <v>1591</v>
      </c>
      <c r="I510">
        <v>3458</v>
      </c>
      <c r="J510">
        <v>72</v>
      </c>
      <c r="K510" t="s">
        <v>1595</v>
      </c>
      <c r="L510" t="s">
        <v>1598</v>
      </c>
      <c r="M510" t="str">
        <f>IF(Table1[[#This Row],[Quantity]]&gt;2,"Bulk Order","Normal Order")</f>
        <v>Normal Order</v>
      </c>
      <c r="N510" t="str">
        <f>_xlfn.CONCAT(Table1[[#This Row],[Category]],"-",Table1[[#This Row],[City]])</f>
        <v>Accessories-Mumbai</v>
      </c>
      <c r="O510" t="str">
        <f>LEFT(Table1[[#This Row],[Category]],3)</f>
        <v>Acc</v>
      </c>
      <c r="P510" s="2"/>
    </row>
    <row r="511" spans="1:16" x14ac:dyDescent="0.35">
      <c r="A511" t="s">
        <v>521</v>
      </c>
      <c r="B511" t="s">
        <v>1221</v>
      </c>
      <c r="C511" t="s">
        <v>1224</v>
      </c>
      <c r="D511">
        <v>1423</v>
      </c>
      <c r="E511">
        <v>3</v>
      </c>
      <c r="F511" t="s">
        <v>1421</v>
      </c>
      <c r="G511" t="s">
        <v>1586</v>
      </c>
      <c r="H511" t="s">
        <v>1590</v>
      </c>
      <c r="I511">
        <v>4269</v>
      </c>
      <c r="J511">
        <v>54</v>
      </c>
      <c r="K511" t="s">
        <v>1595</v>
      </c>
      <c r="L511" t="s">
        <v>1598</v>
      </c>
      <c r="M511" t="str">
        <f>IF(Table1[[#This Row],[Quantity]]&gt;2,"Bulk Order","Normal Order")</f>
        <v>Bulk Order</v>
      </c>
      <c r="N511" t="str">
        <f>_xlfn.CONCAT(Table1[[#This Row],[Category]],"-",Table1[[#This Row],[City]])</f>
        <v>Lifestyle-Hyderabad</v>
      </c>
      <c r="O511" t="str">
        <f>LEFT(Table1[[#This Row],[Category]],3)</f>
        <v>Lif</v>
      </c>
      <c r="P511" s="2"/>
    </row>
    <row r="512" spans="1:16" x14ac:dyDescent="0.35">
      <c r="A512" t="s">
        <v>522</v>
      </c>
      <c r="B512" t="s">
        <v>1212</v>
      </c>
      <c r="C512" t="s">
        <v>1226</v>
      </c>
      <c r="D512">
        <v>2900</v>
      </c>
      <c r="E512">
        <v>3</v>
      </c>
      <c r="F512" t="s">
        <v>1240</v>
      </c>
      <c r="G512" t="s">
        <v>1588</v>
      </c>
      <c r="H512" t="s">
        <v>1591</v>
      </c>
      <c r="I512">
        <v>8700</v>
      </c>
      <c r="J512">
        <v>97</v>
      </c>
      <c r="K512" t="s">
        <v>1594</v>
      </c>
      <c r="L512" t="s">
        <v>1599</v>
      </c>
      <c r="M512" t="str">
        <f>IF(Table1[[#This Row],[Quantity]]&gt;2,"Bulk Order","Normal Order")</f>
        <v>Bulk Order</v>
      </c>
      <c r="N512" t="str">
        <f>_xlfn.CONCAT(Table1[[#This Row],[Category]],"-",Table1[[#This Row],[City]])</f>
        <v>Home-Delhi</v>
      </c>
      <c r="O512" t="str">
        <f>LEFT(Table1[[#This Row],[Category]],3)</f>
        <v>Hom</v>
      </c>
      <c r="P512" s="2"/>
    </row>
    <row r="513" spans="1:16" x14ac:dyDescent="0.35">
      <c r="A513" t="s">
        <v>523</v>
      </c>
      <c r="B513" t="s">
        <v>1212</v>
      </c>
      <c r="C513" t="s">
        <v>1226</v>
      </c>
      <c r="D513">
        <v>4805</v>
      </c>
      <c r="E513">
        <v>2</v>
      </c>
      <c r="F513" t="s">
        <v>1405</v>
      </c>
      <c r="G513" t="s">
        <v>1584</v>
      </c>
      <c r="H513" t="s">
        <v>1591</v>
      </c>
      <c r="I513">
        <v>9610</v>
      </c>
      <c r="J513">
        <v>82</v>
      </c>
      <c r="K513" t="s">
        <v>1595</v>
      </c>
      <c r="L513" t="s">
        <v>1598</v>
      </c>
      <c r="M513" t="str">
        <f>IF(Table1[[#This Row],[Quantity]]&gt;2,"Bulk Order","Normal Order")</f>
        <v>Normal Order</v>
      </c>
      <c r="N513" t="str">
        <f>_xlfn.CONCAT(Table1[[#This Row],[Category]],"-",Table1[[#This Row],[City]])</f>
        <v>Home-Chennai</v>
      </c>
      <c r="O513" t="str">
        <f>LEFT(Table1[[#This Row],[Category]],3)</f>
        <v>Hom</v>
      </c>
      <c r="P513" s="2"/>
    </row>
    <row r="514" spans="1:16" x14ac:dyDescent="0.35">
      <c r="A514" t="s">
        <v>524</v>
      </c>
      <c r="B514" t="s">
        <v>1213</v>
      </c>
      <c r="C514" t="s">
        <v>1226</v>
      </c>
      <c r="D514">
        <v>1841</v>
      </c>
      <c r="E514">
        <v>2</v>
      </c>
      <c r="F514" t="s">
        <v>1498</v>
      </c>
      <c r="G514" t="s">
        <v>1584</v>
      </c>
      <c r="H514" t="s">
        <v>1592</v>
      </c>
      <c r="I514">
        <v>3682</v>
      </c>
      <c r="J514">
        <v>58</v>
      </c>
      <c r="K514" t="s">
        <v>1595</v>
      </c>
      <c r="L514" t="s">
        <v>1599</v>
      </c>
      <c r="M514" t="str">
        <f>IF(Table1[[#This Row],[Quantity]]&gt;2,"Bulk Order","Normal Order")</f>
        <v>Normal Order</v>
      </c>
      <c r="N514" t="str">
        <f>_xlfn.CONCAT(Table1[[#This Row],[Category]],"-",Table1[[#This Row],[City]])</f>
        <v>Home-Chennai</v>
      </c>
      <c r="O514" t="str">
        <f>LEFT(Table1[[#This Row],[Category]],3)</f>
        <v>Hom</v>
      </c>
      <c r="P514" s="2"/>
    </row>
    <row r="515" spans="1:16" x14ac:dyDescent="0.35">
      <c r="A515" t="s">
        <v>525</v>
      </c>
      <c r="B515" t="s">
        <v>1222</v>
      </c>
      <c r="C515" t="s">
        <v>1227</v>
      </c>
      <c r="D515">
        <v>4998</v>
      </c>
      <c r="E515">
        <v>2</v>
      </c>
      <c r="F515" t="s">
        <v>1509</v>
      </c>
      <c r="G515" t="s">
        <v>1588</v>
      </c>
      <c r="H515" t="s">
        <v>1590</v>
      </c>
      <c r="I515">
        <v>9996</v>
      </c>
      <c r="J515">
        <v>94</v>
      </c>
      <c r="K515" t="s">
        <v>1594</v>
      </c>
      <c r="L515" t="s">
        <v>1597</v>
      </c>
      <c r="M515" t="str">
        <f>IF(Table1[[#This Row],[Quantity]]&gt;2,"Bulk Order","Normal Order")</f>
        <v>Normal Order</v>
      </c>
      <c r="N515" t="str">
        <f>_xlfn.CONCAT(Table1[[#This Row],[Category]],"-",Table1[[#This Row],[City]])</f>
        <v>Accessories-Delhi</v>
      </c>
      <c r="O515" t="str">
        <f>LEFT(Table1[[#This Row],[Category]],3)</f>
        <v>Acc</v>
      </c>
      <c r="P515" s="2"/>
    </row>
    <row r="516" spans="1:16" x14ac:dyDescent="0.35">
      <c r="A516" t="s">
        <v>526</v>
      </c>
      <c r="B516" t="s">
        <v>1216</v>
      </c>
      <c r="C516" t="s">
        <v>1227</v>
      </c>
      <c r="D516">
        <v>1164</v>
      </c>
      <c r="E516">
        <v>3</v>
      </c>
      <c r="F516" t="s">
        <v>1339</v>
      </c>
      <c r="G516" t="s">
        <v>1584</v>
      </c>
      <c r="H516" t="s">
        <v>1592</v>
      </c>
      <c r="I516">
        <v>3492</v>
      </c>
      <c r="J516">
        <v>51</v>
      </c>
      <c r="K516" t="s">
        <v>1595</v>
      </c>
      <c r="L516" t="s">
        <v>1599</v>
      </c>
      <c r="M516" t="str">
        <f>IF(Table1[[#This Row],[Quantity]]&gt;2,"Bulk Order","Normal Order")</f>
        <v>Bulk Order</v>
      </c>
      <c r="N516" t="str">
        <f>_xlfn.CONCAT(Table1[[#This Row],[Category]],"-",Table1[[#This Row],[City]])</f>
        <v>Accessories-Chennai</v>
      </c>
      <c r="O516" t="str">
        <f>LEFT(Table1[[#This Row],[Category]],3)</f>
        <v>Acc</v>
      </c>
      <c r="P516" s="2"/>
    </row>
    <row r="517" spans="1:16" x14ac:dyDescent="0.35">
      <c r="A517" t="s">
        <v>527</v>
      </c>
      <c r="B517" t="s">
        <v>1218</v>
      </c>
      <c r="C517" t="s">
        <v>1225</v>
      </c>
      <c r="D517">
        <v>3476</v>
      </c>
      <c r="E517">
        <v>3</v>
      </c>
      <c r="F517" t="s">
        <v>1343</v>
      </c>
      <c r="G517" t="s">
        <v>1585</v>
      </c>
      <c r="H517" t="s">
        <v>1590</v>
      </c>
      <c r="I517">
        <v>10428</v>
      </c>
      <c r="J517">
        <v>95</v>
      </c>
      <c r="K517" t="s">
        <v>1595</v>
      </c>
      <c r="L517" t="s">
        <v>1599</v>
      </c>
      <c r="M517" t="str">
        <f>IF(Table1[[#This Row],[Quantity]]&gt;2,"Bulk Order","Normal Order")</f>
        <v>Bulk Order</v>
      </c>
      <c r="N517" t="str">
        <f>_xlfn.CONCAT(Table1[[#This Row],[Category]],"-",Table1[[#This Row],[City]])</f>
        <v>Fitness-Kolkata</v>
      </c>
      <c r="O517" t="str">
        <f>LEFT(Table1[[#This Row],[Category]],3)</f>
        <v>Fit</v>
      </c>
      <c r="P517" s="2"/>
    </row>
    <row r="518" spans="1:16" x14ac:dyDescent="0.35">
      <c r="A518" t="s">
        <v>528</v>
      </c>
      <c r="B518" t="s">
        <v>1215</v>
      </c>
      <c r="C518" t="s">
        <v>1225</v>
      </c>
      <c r="D518">
        <v>2076</v>
      </c>
      <c r="E518">
        <v>3</v>
      </c>
      <c r="F518" t="s">
        <v>1510</v>
      </c>
      <c r="G518" t="s">
        <v>1588</v>
      </c>
      <c r="H518" t="s">
        <v>1592</v>
      </c>
      <c r="I518">
        <v>6228</v>
      </c>
      <c r="J518">
        <v>21</v>
      </c>
      <c r="K518" t="s">
        <v>1595</v>
      </c>
      <c r="L518" t="s">
        <v>1599</v>
      </c>
      <c r="M518" t="str">
        <f>IF(Table1[[#This Row],[Quantity]]&gt;2,"Bulk Order","Normal Order")</f>
        <v>Bulk Order</v>
      </c>
      <c r="N518" t="str">
        <f>_xlfn.CONCAT(Table1[[#This Row],[Category]],"-",Table1[[#This Row],[City]])</f>
        <v>Fitness-Delhi</v>
      </c>
      <c r="O518" t="str">
        <f>LEFT(Table1[[#This Row],[Category]],3)</f>
        <v>Fit</v>
      </c>
      <c r="P518" s="2"/>
    </row>
    <row r="519" spans="1:16" x14ac:dyDescent="0.35">
      <c r="A519" t="s">
        <v>529</v>
      </c>
      <c r="B519" t="s">
        <v>1220</v>
      </c>
      <c r="C519" t="s">
        <v>1226</v>
      </c>
      <c r="D519">
        <v>1427</v>
      </c>
      <c r="E519">
        <v>1</v>
      </c>
      <c r="F519" t="s">
        <v>1511</v>
      </c>
      <c r="G519" t="s">
        <v>1584</v>
      </c>
      <c r="H519" t="s">
        <v>1593</v>
      </c>
      <c r="I519">
        <v>1427</v>
      </c>
      <c r="J519">
        <v>27</v>
      </c>
      <c r="K519" t="s">
        <v>1594</v>
      </c>
      <c r="L519" t="s">
        <v>1598</v>
      </c>
      <c r="M519" t="str">
        <f>IF(Table1[[#This Row],[Quantity]]&gt;2,"Bulk Order","Normal Order")</f>
        <v>Normal Order</v>
      </c>
      <c r="N519" t="str">
        <f>_xlfn.CONCAT(Table1[[#This Row],[Category]],"-",Table1[[#This Row],[City]])</f>
        <v>Home-Chennai</v>
      </c>
      <c r="O519" t="str">
        <f>LEFT(Table1[[#This Row],[Category]],3)</f>
        <v>Hom</v>
      </c>
      <c r="P519" s="2"/>
    </row>
    <row r="520" spans="1:16" x14ac:dyDescent="0.35">
      <c r="A520" t="s">
        <v>530</v>
      </c>
      <c r="B520" t="s">
        <v>1221</v>
      </c>
      <c r="C520" t="s">
        <v>1227</v>
      </c>
      <c r="D520">
        <v>2733</v>
      </c>
      <c r="E520">
        <v>3</v>
      </c>
      <c r="F520" t="s">
        <v>1332</v>
      </c>
      <c r="G520" t="s">
        <v>1585</v>
      </c>
      <c r="H520" t="s">
        <v>1592</v>
      </c>
      <c r="I520">
        <v>8199</v>
      </c>
      <c r="J520">
        <v>31</v>
      </c>
      <c r="K520" t="s">
        <v>1595</v>
      </c>
      <c r="L520" t="s">
        <v>1598</v>
      </c>
      <c r="M520" t="str">
        <f>IF(Table1[[#This Row],[Quantity]]&gt;2,"Bulk Order","Normal Order")</f>
        <v>Bulk Order</v>
      </c>
      <c r="N520" t="str">
        <f>_xlfn.CONCAT(Table1[[#This Row],[Category]],"-",Table1[[#This Row],[City]])</f>
        <v>Accessories-Kolkata</v>
      </c>
      <c r="O520" t="str">
        <f>LEFT(Table1[[#This Row],[Category]],3)</f>
        <v>Acc</v>
      </c>
      <c r="P520" s="2"/>
    </row>
    <row r="521" spans="1:16" x14ac:dyDescent="0.35">
      <c r="A521" t="s">
        <v>531</v>
      </c>
      <c r="B521" t="s">
        <v>1221</v>
      </c>
      <c r="C521" t="s">
        <v>1225</v>
      </c>
      <c r="D521">
        <v>4421</v>
      </c>
      <c r="E521">
        <v>4</v>
      </c>
      <c r="F521" t="s">
        <v>1512</v>
      </c>
      <c r="G521" t="s">
        <v>1586</v>
      </c>
      <c r="H521" t="s">
        <v>1591</v>
      </c>
      <c r="I521">
        <v>17684</v>
      </c>
      <c r="J521">
        <v>22</v>
      </c>
      <c r="K521" t="s">
        <v>1595</v>
      </c>
      <c r="L521" t="s">
        <v>1598</v>
      </c>
      <c r="M521" t="str">
        <f>IF(Table1[[#This Row],[Quantity]]&gt;2,"Bulk Order","Normal Order")</f>
        <v>Bulk Order</v>
      </c>
      <c r="N521" t="str">
        <f>_xlfn.CONCAT(Table1[[#This Row],[Category]],"-",Table1[[#This Row],[City]])</f>
        <v>Fitness-Hyderabad</v>
      </c>
      <c r="O521" t="str">
        <f>LEFT(Table1[[#This Row],[Category]],3)</f>
        <v>Fit</v>
      </c>
      <c r="P521" s="2"/>
    </row>
    <row r="522" spans="1:16" x14ac:dyDescent="0.35">
      <c r="A522" t="s">
        <v>532</v>
      </c>
      <c r="B522" t="s">
        <v>1217</v>
      </c>
      <c r="C522" t="s">
        <v>1228</v>
      </c>
      <c r="D522">
        <v>3470</v>
      </c>
      <c r="E522">
        <v>2</v>
      </c>
      <c r="F522" t="s">
        <v>1366</v>
      </c>
      <c r="G522" t="s">
        <v>1587</v>
      </c>
      <c r="H522" t="s">
        <v>1592</v>
      </c>
      <c r="I522">
        <v>6940</v>
      </c>
      <c r="J522">
        <v>42</v>
      </c>
      <c r="K522" t="s">
        <v>1595</v>
      </c>
      <c r="L522" t="s">
        <v>1597</v>
      </c>
      <c r="M522" t="str">
        <f>IF(Table1[[#This Row],[Quantity]]&gt;2,"Bulk Order","Normal Order")</f>
        <v>Normal Order</v>
      </c>
      <c r="N522" t="str">
        <f>_xlfn.CONCAT(Table1[[#This Row],[Category]],"-",Table1[[#This Row],[City]])</f>
        <v>Electronics-Mumbai</v>
      </c>
      <c r="O522" t="str">
        <f>LEFT(Table1[[#This Row],[Category]],3)</f>
        <v>Ele</v>
      </c>
      <c r="P522" s="2"/>
    </row>
    <row r="523" spans="1:16" x14ac:dyDescent="0.35">
      <c r="A523" t="s">
        <v>533</v>
      </c>
      <c r="B523" t="s">
        <v>1223</v>
      </c>
      <c r="C523" t="s">
        <v>1225</v>
      </c>
      <c r="D523">
        <v>2389</v>
      </c>
      <c r="E523">
        <v>4</v>
      </c>
      <c r="F523" t="s">
        <v>1318</v>
      </c>
      <c r="G523" t="s">
        <v>1588</v>
      </c>
      <c r="H523" t="s">
        <v>1590</v>
      </c>
      <c r="I523">
        <v>9556</v>
      </c>
      <c r="J523">
        <v>85</v>
      </c>
      <c r="K523" t="s">
        <v>1595</v>
      </c>
      <c r="L523" t="s">
        <v>1599</v>
      </c>
      <c r="M523" t="str">
        <f>IF(Table1[[#This Row],[Quantity]]&gt;2,"Bulk Order","Normal Order")</f>
        <v>Bulk Order</v>
      </c>
      <c r="N523" t="str">
        <f>_xlfn.CONCAT(Table1[[#This Row],[Category]],"-",Table1[[#This Row],[City]])</f>
        <v>Fitness-Delhi</v>
      </c>
      <c r="O523" t="str">
        <f>LEFT(Table1[[#This Row],[Category]],3)</f>
        <v>Fit</v>
      </c>
      <c r="P523" s="2"/>
    </row>
    <row r="524" spans="1:16" x14ac:dyDescent="0.35">
      <c r="A524" t="s">
        <v>534</v>
      </c>
      <c r="B524" t="s">
        <v>1223</v>
      </c>
      <c r="C524" t="s">
        <v>1225</v>
      </c>
      <c r="D524">
        <v>2140</v>
      </c>
      <c r="E524">
        <v>2</v>
      </c>
      <c r="F524" t="s">
        <v>1405</v>
      </c>
      <c r="G524" t="s">
        <v>1586</v>
      </c>
      <c r="H524" t="s">
        <v>1591</v>
      </c>
      <c r="I524">
        <v>4280</v>
      </c>
      <c r="J524">
        <v>97</v>
      </c>
      <c r="K524" t="s">
        <v>1595</v>
      </c>
      <c r="L524" t="s">
        <v>1597</v>
      </c>
      <c r="M524" t="str">
        <f>IF(Table1[[#This Row],[Quantity]]&gt;2,"Bulk Order","Normal Order")</f>
        <v>Normal Order</v>
      </c>
      <c r="N524" t="str">
        <f>_xlfn.CONCAT(Table1[[#This Row],[Category]],"-",Table1[[#This Row],[City]])</f>
        <v>Fitness-Hyderabad</v>
      </c>
      <c r="O524" t="str">
        <f>LEFT(Table1[[#This Row],[Category]],3)</f>
        <v>Fit</v>
      </c>
      <c r="P524" s="2"/>
    </row>
    <row r="525" spans="1:16" x14ac:dyDescent="0.35">
      <c r="A525" t="s">
        <v>535</v>
      </c>
      <c r="B525" t="s">
        <v>1222</v>
      </c>
      <c r="C525" t="s">
        <v>1228</v>
      </c>
      <c r="D525">
        <v>3449</v>
      </c>
      <c r="E525">
        <v>2</v>
      </c>
      <c r="F525" t="s">
        <v>1249</v>
      </c>
      <c r="G525" t="s">
        <v>1588</v>
      </c>
      <c r="H525" t="s">
        <v>1592</v>
      </c>
      <c r="I525">
        <v>6898</v>
      </c>
      <c r="J525">
        <v>57</v>
      </c>
      <c r="K525" t="s">
        <v>1595</v>
      </c>
      <c r="L525" t="s">
        <v>1599</v>
      </c>
      <c r="M525" t="str">
        <f>IF(Table1[[#This Row],[Quantity]]&gt;2,"Bulk Order","Normal Order")</f>
        <v>Normal Order</v>
      </c>
      <c r="N525" t="str">
        <f>_xlfn.CONCAT(Table1[[#This Row],[Category]],"-",Table1[[#This Row],[City]])</f>
        <v>Electronics-Delhi</v>
      </c>
      <c r="O525" t="str">
        <f>LEFT(Table1[[#This Row],[Category]],3)</f>
        <v>Ele</v>
      </c>
      <c r="P525" s="2"/>
    </row>
    <row r="526" spans="1:16" x14ac:dyDescent="0.35">
      <c r="A526" t="s">
        <v>536</v>
      </c>
      <c r="B526" t="s">
        <v>1215</v>
      </c>
      <c r="C526" t="s">
        <v>1226</v>
      </c>
      <c r="D526">
        <v>2376</v>
      </c>
      <c r="E526">
        <v>3</v>
      </c>
      <c r="F526" t="s">
        <v>1292</v>
      </c>
      <c r="G526" t="s">
        <v>1585</v>
      </c>
      <c r="H526" t="s">
        <v>1591</v>
      </c>
      <c r="I526">
        <v>7128</v>
      </c>
      <c r="J526">
        <v>96</v>
      </c>
      <c r="K526" t="s">
        <v>1595</v>
      </c>
      <c r="L526" t="s">
        <v>1599</v>
      </c>
      <c r="M526" t="str">
        <f>IF(Table1[[#This Row],[Quantity]]&gt;2,"Bulk Order","Normal Order")</f>
        <v>Bulk Order</v>
      </c>
      <c r="N526" t="str">
        <f>_xlfn.CONCAT(Table1[[#This Row],[Category]],"-",Table1[[#This Row],[City]])</f>
        <v>Home-Kolkata</v>
      </c>
      <c r="O526" t="str">
        <f>LEFT(Table1[[#This Row],[Category]],3)</f>
        <v>Hom</v>
      </c>
      <c r="P526" s="2"/>
    </row>
    <row r="527" spans="1:16" x14ac:dyDescent="0.35">
      <c r="A527" t="s">
        <v>537</v>
      </c>
      <c r="B527" t="s">
        <v>1218</v>
      </c>
      <c r="C527" t="s">
        <v>1224</v>
      </c>
      <c r="D527">
        <v>4693</v>
      </c>
      <c r="E527">
        <v>4</v>
      </c>
      <c r="F527" t="s">
        <v>1513</v>
      </c>
      <c r="G527" t="s">
        <v>1585</v>
      </c>
      <c r="H527" t="s">
        <v>1590</v>
      </c>
      <c r="I527">
        <v>18772</v>
      </c>
      <c r="J527">
        <v>78</v>
      </c>
      <c r="K527" t="s">
        <v>1595</v>
      </c>
      <c r="L527" t="s">
        <v>1597</v>
      </c>
      <c r="M527" t="str">
        <f>IF(Table1[[#This Row],[Quantity]]&gt;2,"Bulk Order","Normal Order")</f>
        <v>Bulk Order</v>
      </c>
      <c r="N527" t="str">
        <f>_xlfn.CONCAT(Table1[[#This Row],[Category]],"-",Table1[[#This Row],[City]])</f>
        <v>Lifestyle-Kolkata</v>
      </c>
      <c r="O527" t="str">
        <f>LEFT(Table1[[#This Row],[Category]],3)</f>
        <v>Lif</v>
      </c>
      <c r="P527" s="2"/>
    </row>
    <row r="528" spans="1:16" x14ac:dyDescent="0.35">
      <c r="A528" t="s">
        <v>538</v>
      </c>
      <c r="B528" t="s">
        <v>1213</v>
      </c>
      <c r="C528" t="s">
        <v>1226</v>
      </c>
      <c r="D528">
        <v>4805</v>
      </c>
      <c r="E528">
        <v>2</v>
      </c>
      <c r="F528" t="s">
        <v>1473</v>
      </c>
      <c r="G528" t="s">
        <v>1586</v>
      </c>
      <c r="H528" t="s">
        <v>1590</v>
      </c>
      <c r="I528">
        <v>9610</v>
      </c>
      <c r="J528">
        <v>63</v>
      </c>
      <c r="K528" t="s">
        <v>1594</v>
      </c>
      <c r="L528" t="s">
        <v>1597</v>
      </c>
      <c r="M528" t="str">
        <f>IF(Table1[[#This Row],[Quantity]]&gt;2,"Bulk Order","Normal Order")</f>
        <v>Normal Order</v>
      </c>
      <c r="N528" t="str">
        <f>_xlfn.CONCAT(Table1[[#This Row],[Category]],"-",Table1[[#This Row],[City]])</f>
        <v>Home-Hyderabad</v>
      </c>
      <c r="O528" t="str">
        <f>LEFT(Table1[[#This Row],[Category]],3)</f>
        <v>Hom</v>
      </c>
      <c r="P528" s="2"/>
    </row>
    <row r="529" spans="1:16" x14ac:dyDescent="0.35">
      <c r="A529" t="s">
        <v>539</v>
      </c>
      <c r="B529" t="s">
        <v>1222</v>
      </c>
      <c r="C529" t="s">
        <v>1228</v>
      </c>
      <c r="D529">
        <v>4023</v>
      </c>
      <c r="E529">
        <v>4</v>
      </c>
      <c r="F529" t="s">
        <v>1389</v>
      </c>
      <c r="G529" t="s">
        <v>1585</v>
      </c>
      <c r="H529" t="s">
        <v>1591</v>
      </c>
      <c r="I529">
        <v>16092</v>
      </c>
      <c r="J529">
        <v>59</v>
      </c>
      <c r="K529" t="s">
        <v>1596</v>
      </c>
      <c r="L529" t="s">
        <v>1599</v>
      </c>
      <c r="M529" t="str">
        <f>IF(Table1[[#This Row],[Quantity]]&gt;2,"Bulk Order","Normal Order")</f>
        <v>Bulk Order</v>
      </c>
      <c r="N529" t="str">
        <f>_xlfn.CONCAT(Table1[[#This Row],[Category]],"-",Table1[[#This Row],[City]])</f>
        <v>Electronics-Kolkata</v>
      </c>
      <c r="O529" t="str">
        <f>LEFT(Table1[[#This Row],[Category]],3)</f>
        <v>Ele</v>
      </c>
      <c r="P529" s="2"/>
    </row>
    <row r="530" spans="1:16" x14ac:dyDescent="0.35">
      <c r="A530" t="s">
        <v>540</v>
      </c>
      <c r="B530" t="s">
        <v>1222</v>
      </c>
      <c r="C530" t="s">
        <v>1227</v>
      </c>
      <c r="D530">
        <v>2108</v>
      </c>
      <c r="E530">
        <v>3</v>
      </c>
      <c r="F530" t="s">
        <v>1282</v>
      </c>
      <c r="G530" t="s">
        <v>1585</v>
      </c>
      <c r="H530" t="s">
        <v>1590</v>
      </c>
      <c r="I530">
        <v>6324</v>
      </c>
      <c r="J530">
        <v>90</v>
      </c>
      <c r="K530" t="s">
        <v>1596</v>
      </c>
      <c r="L530" t="s">
        <v>1597</v>
      </c>
      <c r="M530" t="str">
        <f>IF(Table1[[#This Row],[Quantity]]&gt;2,"Bulk Order","Normal Order")</f>
        <v>Bulk Order</v>
      </c>
      <c r="N530" t="str">
        <f>_xlfn.CONCAT(Table1[[#This Row],[Category]],"-",Table1[[#This Row],[City]])</f>
        <v>Accessories-Kolkata</v>
      </c>
      <c r="O530" t="str">
        <f>LEFT(Table1[[#This Row],[Category]],3)</f>
        <v>Acc</v>
      </c>
      <c r="P530" s="2"/>
    </row>
    <row r="531" spans="1:16" x14ac:dyDescent="0.35">
      <c r="A531" t="s">
        <v>541</v>
      </c>
      <c r="B531" t="s">
        <v>1220</v>
      </c>
      <c r="C531" t="s">
        <v>1225</v>
      </c>
      <c r="D531">
        <v>4943</v>
      </c>
      <c r="E531">
        <v>2</v>
      </c>
      <c r="F531" t="s">
        <v>1338</v>
      </c>
      <c r="G531" t="s">
        <v>1584</v>
      </c>
      <c r="H531" t="s">
        <v>1591</v>
      </c>
      <c r="I531">
        <v>9886</v>
      </c>
      <c r="J531">
        <v>69</v>
      </c>
      <c r="K531" t="s">
        <v>1595</v>
      </c>
      <c r="L531" t="s">
        <v>1598</v>
      </c>
      <c r="M531" t="str">
        <f>IF(Table1[[#This Row],[Quantity]]&gt;2,"Bulk Order","Normal Order")</f>
        <v>Normal Order</v>
      </c>
      <c r="N531" t="str">
        <f>_xlfn.CONCAT(Table1[[#This Row],[Category]],"-",Table1[[#This Row],[City]])</f>
        <v>Fitness-Chennai</v>
      </c>
      <c r="O531" t="str">
        <f>LEFT(Table1[[#This Row],[Category]],3)</f>
        <v>Fit</v>
      </c>
      <c r="P531" s="2"/>
    </row>
    <row r="532" spans="1:16" x14ac:dyDescent="0.35">
      <c r="A532" t="s">
        <v>542</v>
      </c>
      <c r="B532" t="s">
        <v>1214</v>
      </c>
      <c r="C532" t="s">
        <v>1224</v>
      </c>
      <c r="D532">
        <v>2788</v>
      </c>
      <c r="E532">
        <v>4</v>
      </c>
      <c r="F532" t="s">
        <v>1405</v>
      </c>
      <c r="G532" t="s">
        <v>1589</v>
      </c>
      <c r="H532" t="s">
        <v>1592</v>
      </c>
      <c r="I532">
        <v>11152</v>
      </c>
      <c r="J532">
        <v>95</v>
      </c>
      <c r="K532" t="s">
        <v>1595</v>
      </c>
      <c r="L532" t="s">
        <v>1599</v>
      </c>
      <c r="M532" t="str">
        <f>IF(Table1[[#This Row],[Quantity]]&gt;2,"Bulk Order","Normal Order")</f>
        <v>Bulk Order</v>
      </c>
      <c r="N532" t="str">
        <f>_xlfn.CONCAT(Table1[[#This Row],[Category]],"-",Table1[[#This Row],[City]])</f>
        <v>Lifestyle-Bangalore</v>
      </c>
      <c r="O532" t="str">
        <f>LEFT(Table1[[#This Row],[Category]],3)</f>
        <v>Lif</v>
      </c>
      <c r="P532" s="2"/>
    </row>
    <row r="533" spans="1:16" x14ac:dyDescent="0.35">
      <c r="A533" t="s">
        <v>543</v>
      </c>
      <c r="B533" t="s">
        <v>1219</v>
      </c>
      <c r="C533" t="s">
        <v>1226</v>
      </c>
      <c r="D533">
        <v>259</v>
      </c>
      <c r="E533">
        <v>2</v>
      </c>
      <c r="F533" t="s">
        <v>1353</v>
      </c>
      <c r="G533" t="s">
        <v>1584</v>
      </c>
      <c r="H533" t="s">
        <v>1590</v>
      </c>
      <c r="I533">
        <v>518</v>
      </c>
      <c r="J533">
        <v>32</v>
      </c>
      <c r="K533" t="s">
        <v>1595</v>
      </c>
      <c r="L533" t="s">
        <v>1599</v>
      </c>
      <c r="M533" t="str">
        <f>IF(Table1[[#This Row],[Quantity]]&gt;2,"Bulk Order","Normal Order")</f>
        <v>Normal Order</v>
      </c>
      <c r="N533" t="str">
        <f>_xlfn.CONCAT(Table1[[#This Row],[Category]],"-",Table1[[#This Row],[City]])</f>
        <v>Home-Chennai</v>
      </c>
      <c r="O533" t="str">
        <f>LEFT(Table1[[#This Row],[Category]],3)</f>
        <v>Hom</v>
      </c>
      <c r="P533" s="2"/>
    </row>
    <row r="534" spans="1:16" x14ac:dyDescent="0.35">
      <c r="A534" t="s">
        <v>544</v>
      </c>
      <c r="B534" t="s">
        <v>1212</v>
      </c>
      <c r="C534" t="s">
        <v>1225</v>
      </c>
      <c r="D534">
        <v>797</v>
      </c>
      <c r="E534">
        <v>1</v>
      </c>
      <c r="F534" t="s">
        <v>1391</v>
      </c>
      <c r="G534" t="s">
        <v>1587</v>
      </c>
      <c r="H534" t="s">
        <v>1593</v>
      </c>
      <c r="I534">
        <v>797</v>
      </c>
      <c r="J534">
        <v>32</v>
      </c>
      <c r="K534" t="s">
        <v>1595</v>
      </c>
      <c r="L534" t="s">
        <v>1599</v>
      </c>
      <c r="M534" t="str">
        <f>IF(Table1[[#This Row],[Quantity]]&gt;2,"Bulk Order","Normal Order")</f>
        <v>Normal Order</v>
      </c>
      <c r="N534" t="str">
        <f>_xlfn.CONCAT(Table1[[#This Row],[Category]],"-",Table1[[#This Row],[City]])</f>
        <v>Fitness-Mumbai</v>
      </c>
      <c r="O534" t="str">
        <f>LEFT(Table1[[#This Row],[Category]],3)</f>
        <v>Fit</v>
      </c>
      <c r="P534" s="2"/>
    </row>
    <row r="535" spans="1:16" x14ac:dyDescent="0.35">
      <c r="A535" t="s">
        <v>545</v>
      </c>
      <c r="B535" t="s">
        <v>1214</v>
      </c>
      <c r="C535" t="s">
        <v>1225</v>
      </c>
      <c r="D535">
        <v>2000</v>
      </c>
      <c r="E535">
        <v>2</v>
      </c>
      <c r="F535" t="s">
        <v>1397</v>
      </c>
      <c r="G535" t="s">
        <v>1586</v>
      </c>
      <c r="H535" t="s">
        <v>1593</v>
      </c>
      <c r="I535">
        <v>4000</v>
      </c>
      <c r="J535">
        <v>52</v>
      </c>
      <c r="K535" t="s">
        <v>1595</v>
      </c>
      <c r="L535" t="s">
        <v>1597</v>
      </c>
      <c r="M535" t="str">
        <f>IF(Table1[[#This Row],[Quantity]]&gt;2,"Bulk Order","Normal Order")</f>
        <v>Normal Order</v>
      </c>
      <c r="N535" t="str">
        <f>_xlfn.CONCAT(Table1[[#This Row],[Category]],"-",Table1[[#This Row],[City]])</f>
        <v>Fitness-Hyderabad</v>
      </c>
      <c r="O535" t="str">
        <f>LEFT(Table1[[#This Row],[Category]],3)</f>
        <v>Fit</v>
      </c>
      <c r="P535" s="2"/>
    </row>
    <row r="536" spans="1:16" x14ac:dyDescent="0.35">
      <c r="A536" t="s">
        <v>546</v>
      </c>
      <c r="B536" t="s">
        <v>1223</v>
      </c>
      <c r="C536" t="s">
        <v>1227</v>
      </c>
      <c r="D536">
        <v>942</v>
      </c>
      <c r="E536">
        <v>1</v>
      </c>
      <c r="F536" t="s">
        <v>1230</v>
      </c>
      <c r="G536" t="s">
        <v>1586</v>
      </c>
      <c r="H536" t="s">
        <v>1593</v>
      </c>
      <c r="I536">
        <v>942</v>
      </c>
      <c r="J536">
        <v>51</v>
      </c>
      <c r="K536" t="s">
        <v>1594</v>
      </c>
      <c r="L536" t="s">
        <v>1599</v>
      </c>
      <c r="M536" t="str">
        <f>IF(Table1[[#This Row],[Quantity]]&gt;2,"Bulk Order","Normal Order")</f>
        <v>Normal Order</v>
      </c>
      <c r="N536" t="str">
        <f>_xlfn.CONCAT(Table1[[#This Row],[Category]],"-",Table1[[#This Row],[City]])</f>
        <v>Accessories-Hyderabad</v>
      </c>
      <c r="O536" t="str">
        <f>LEFT(Table1[[#This Row],[Category]],3)</f>
        <v>Acc</v>
      </c>
      <c r="P536" s="2"/>
    </row>
    <row r="537" spans="1:16" x14ac:dyDescent="0.35">
      <c r="A537" t="s">
        <v>547</v>
      </c>
      <c r="B537" t="s">
        <v>1223</v>
      </c>
      <c r="C537" t="s">
        <v>1228</v>
      </c>
      <c r="D537">
        <v>3620</v>
      </c>
      <c r="E537">
        <v>1</v>
      </c>
      <c r="F537" t="s">
        <v>1378</v>
      </c>
      <c r="G537" t="s">
        <v>1585</v>
      </c>
      <c r="H537" t="s">
        <v>1590</v>
      </c>
      <c r="I537">
        <v>3620</v>
      </c>
      <c r="J537">
        <v>42</v>
      </c>
      <c r="K537" t="s">
        <v>1595</v>
      </c>
      <c r="L537" t="s">
        <v>1599</v>
      </c>
      <c r="M537" t="str">
        <f>IF(Table1[[#This Row],[Quantity]]&gt;2,"Bulk Order","Normal Order")</f>
        <v>Normal Order</v>
      </c>
      <c r="N537" t="str">
        <f>_xlfn.CONCAT(Table1[[#This Row],[Category]],"-",Table1[[#This Row],[City]])</f>
        <v>Electronics-Kolkata</v>
      </c>
      <c r="O537" t="str">
        <f>LEFT(Table1[[#This Row],[Category]],3)</f>
        <v>Ele</v>
      </c>
      <c r="P537" s="2"/>
    </row>
    <row r="538" spans="1:16" x14ac:dyDescent="0.35">
      <c r="A538" t="s">
        <v>548</v>
      </c>
      <c r="B538" t="s">
        <v>1215</v>
      </c>
      <c r="C538" t="s">
        <v>1227</v>
      </c>
      <c r="D538">
        <v>3867</v>
      </c>
      <c r="E538">
        <v>4</v>
      </c>
      <c r="F538" t="s">
        <v>1262</v>
      </c>
      <c r="G538" t="s">
        <v>1585</v>
      </c>
      <c r="H538" t="s">
        <v>1592</v>
      </c>
      <c r="I538">
        <v>15468</v>
      </c>
      <c r="J538">
        <v>52</v>
      </c>
      <c r="K538" t="s">
        <v>1595</v>
      </c>
      <c r="L538" t="s">
        <v>1599</v>
      </c>
      <c r="M538" t="str">
        <f>IF(Table1[[#This Row],[Quantity]]&gt;2,"Bulk Order","Normal Order")</f>
        <v>Bulk Order</v>
      </c>
      <c r="N538" t="str">
        <f>_xlfn.CONCAT(Table1[[#This Row],[Category]],"-",Table1[[#This Row],[City]])</f>
        <v>Accessories-Kolkata</v>
      </c>
      <c r="O538" t="str">
        <f>LEFT(Table1[[#This Row],[Category]],3)</f>
        <v>Acc</v>
      </c>
      <c r="P538" s="2"/>
    </row>
    <row r="539" spans="1:16" x14ac:dyDescent="0.35">
      <c r="A539" t="s">
        <v>549</v>
      </c>
      <c r="B539" t="s">
        <v>1223</v>
      </c>
      <c r="C539" t="s">
        <v>1225</v>
      </c>
      <c r="D539">
        <v>4681</v>
      </c>
      <c r="E539">
        <v>2</v>
      </c>
      <c r="F539" t="s">
        <v>1253</v>
      </c>
      <c r="G539" t="s">
        <v>1586</v>
      </c>
      <c r="H539" t="s">
        <v>1591</v>
      </c>
      <c r="I539">
        <v>9362</v>
      </c>
      <c r="J539">
        <v>86</v>
      </c>
      <c r="K539" t="s">
        <v>1595</v>
      </c>
      <c r="L539" t="s">
        <v>1598</v>
      </c>
      <c r="M539" t="str">
        <f>IF(Table1[[#This Row],[Quantity]]&gt;2,"Bulk Order","Normal Order")</f>
        <v>Normal Order</v>
      </c>
      <c r="N539" t="str">
        <f>_xlfn.CONCAT(Table1[[#This Row],[Category]],"-",Table1[[#This Row],[City]])</f>
        <v>Fitness-Hyderabad</v>
      </c>
      <c r="O539" t="str">
        <f>LEFT(Table1[[#This Row],[Category]],3)</f>
        <v>Fit</v>
      </c>
      <c r="P539" s="2"/>
    </row>
    <row r="540" spans="1:16" x14ac:dyDescent="0.35">
      <c r="A540" t="s">
        <v>550</v>
      </c>
      <c r="B540" t="s">
        <v>1214</v>
      </c>
      <c r="C540" t="s">
        <v>1228</v>
      </c>
      <c r="D540">
        <v>2518</v>
      </c>
      <c r="E540">
        <v>2</v>
      </c>
      <c r="F540" t="s">
        <v>1514</v>
      </c>
      <c r="G540" t="s">
        <v>1587</v>
      </c>
      <c r="H540" t="s">
        <v>1593</v>
      </c>
      <c r="I540">
        <v>5036</v>
      </c>
      <c r="J540">
        <v>44</v>
      </c>
      <c r="K540" t="s">
        <v>1595</v>
      </c>
      <c r="L540" t="s">
        <v>1599</v>
      </c>
      <c r="M540" t="str">
        <f>IF(Table1[[#This Row],[Quantity]]&gt;2,"Bulk Order","Normal Order")</f>
        <v>Normal Order</v>
      </c>
      <c r="N540" t="str">
        <f>_xlfn.CONCAT(Table1[[#This Row],[Category]],"-",Table1[[#This Row],[City]])</f>
        <v>Electronics-Mumbai</v>
      </c>
      <c r="O540" t="str">
        <f>LEFT(Table1[[#This Row],[Category]],3)</f>
        <v>Ele</v>
      </c>
      <c r="P540" s="2"/>
    </row>
    <row r="541" spans="1:16" x14ac:dyDescent="0.35">
      <c r="A541" t="s">
        <v>551</v>
      </c>
      <c r="B541" t="s">
        <v>1222</v>
      </c>
      <c r="C541" t="s">
        <v>1225</v>
      </c>
      <c r="D541">
        <v>4276</v>
      </c>
      <c r="E541">
        <v>3</v>
      </c>
      <c r="F541" t="s">
        <v>1260</v>
      </c>
      <c r="G541" t="s">
        <v>1585</v>
      </c>
      <c r="H541" t="s">
        <v>1590</v>
      </c>
      <c r="I541">
        <v>12828</v>
      </c>
      <c r="J541">
        <v>97</v>
      </c>
      <c r="K541" t="s">
        <v>1595</v>
      </c>
      <c r="L541" t="s">
        <v>1598</v>
      </c>
      <c r="M541" t="str">
        <f>IF(Table1[[#This Row],[Quantity]]&gt;2,"Bulk Order","Normal Order")</f>
        <v>Bulk Order</v>
      </c>
      <c r="N541" t="str">
        <f>_xlfn.CONCAT(Table1[[#This Row],[Category]],"-",Table1[[#This Row],[City]])</f>
        <v>Fitness-Kolkata</v>
      </c>
      <c r="O541" t="str">
        <f>LEFT(Table1[[#This Row],[Category]],3)</f>
        <v>Fit</v>
      </c>
      <c r="P541" s="2"/>
    </row>
    <row r="542" spans="1:16" x14ac:dyDescent="0.35">
      <c r="A542" t="s">
        <v>552</v>
      </c>
      <c r="B542" t="s">
        <v>1215</v>
      </c>
      <c r="C542" t="s">
        <v>1224</v>
      </c>
      <c r="D542">
        <v>2606</v>
      </c>
      <c r="E542">
        <v>4</v>
      </c>
      <c r="F542" t="s">
        <v>1381</v>
      </c>
      <c r="G542" t="s">
        <v>1588</v>
      </c>
      <c r="H542" t="s">
        <v>1592</v>
      </c>
      <c r="I542">
        <v>10424</v>
      </c>
      <c r="J542">
        <v>23</v>
      </c>
      <c r="K542" t="s">
        <v>1595</v>
      </c>
      <c r="L542" t="s">
        <v>1599</v>
      </c>
      <c r="M542" t="str">
        <f>IF(Table1[[#This Row],[Quantity]]&gt;2,"Bulk Order","Normal Order")</f>
        <v>Bulk Order</v>
      </c>
      <c r="N542" t="str">
        <f>_xlfn.CONCAT(Table1[[#This Row],[Category]],"-",Table1[[#This Row],[City]])</f>
        <v>Lifestyle-Delhi</v>
      </c>
      <c r="O542" t="str">
        <f>LEFT(Table1[[#This Row],[Category]],3)</f>
        <v>Lif</v>
      </c>
      <c r="P542" s="2"/>
    </row>
    <row r="543" spans="1:16" x14ac:dyDescent="0.35">
      <c r="A543" t="s">
        <v>553</v>
      </c>
      <c r="B543" t="s">
        <v>1223</v>
      </c>
      <c r="C543" t="s">
        <v>1224</v>
      </c>
      <c r="D543">
        <v>2629</v>
      </c>
      <c r="E543">
        <v>4</v>
      </c>
      <c r="F543" t="s">
        <v>1247</v>
      </c>
      <c r="G543" t="s">
        <v>1588</v>
      </c>
      <c r="H543" t="s">
        <v>1593</v>
      </c>
      <c r="I543">
        <v>10516</v>
      </c>
      <c r="J543">
        <v>59</v>
      </c>
      <c r="K543" t="s">
        <v>1595</v>
      </c>
      <c r="L543" t="s">
        <v>1597</v>
      </c>
      <c r="M543" t="str">
        <f>IF(Table1[[#This Row],[Quantity]]&gt;2,"Bulk Order","Normal Order")</f>
        <v>Bulk Order</v>
      </c>
      <c r="N543" t="str">
        <f>_xlfn.CONCAT(Table1[[#This Row],[Category]],"-",Table1[[#This Row],[City]])</f>
        <v>Lifestyle-Delhi</v>
      </c>
      <c r="O543" t="str">
        <f>LEFT(Table1[[#This Row],[Category]],3)</f>
        <v>Lif</v>
      </c>
      <c r="P543" s="2"/>
    </row>
    <row r="544" spans="1:16" x14ac:dyDescent="0.35">
      <c r="A544" t="s">
        <v>554</v>
      </c>
      <c r="B544" t="s">
        <v>1221</v>
      </c>
      <c r="C544" t="s">
        <v>1225</v>
      </c>
      <c r="D544">
        <v>1037</v>
      </c>
      <c r="E544">
        <v>4</v>
      </c>
      <c r="F544" t="s">
        <v>1297</v>
      </c>
      <c r="G544" t="s">
        <v>1587</v>
      </c>
      <c r="H544" t="s">
        <v>1590</v>
      </c>
      <c r="I544">
        <v>4148</v>
      </c>
      <c r="J544">
        <v>50</v>
      </c>
      <c r="K544" t="s">
        <v>1595</v>
      </c>
      <c r="L544" t="s">
        <v>1598</v>
      </c>
      <c r="M544" t="str">
        <f>IF(Table1[[#This Row],[Quantity]]&gt;2,"Bulk Order","Normal Order")</f>
        <v>Bulk Order</v>
      </c>
      <c r="N544" t="str">
        <f>_xlfn.CONCAT(Table1[[#This Row],[Category]],"-",Table1[[#This Row],[City]])</f>
        <v>Fitness-Mumbai</v>
      </c>
      <c r="O544" t="str">
        <f>LEFT(Table1[[#This Row],[Category]],3)</f>
        <v>Fit</v>
      </c>
      <c r="P544" s="2"/>
    </row>
    <row r="545" spans="1:16" x14ac:dyDescent="0.35">
      <c r="A545" t="s">
        <v>555</v>
      </c>
      <c r="B545" t="s">
        <v>1213</v>
      </c>
      <c r="C545" t="s">
        <v>1226</v>
      </c>
      <c r="D545">
        <v>4294</v>
      </c>
      <c r="E545">
        <v>3</v>
      </c>
      <c r="F545" t="s">
        <v>1274</v>
      </c>
      <c r="G545" t="s">
        <v>1586</v>
      </c>
      <c r="H545" t="s">
        <v>1591</v>
      </c>
      <c r="I545">
        <v>12882</v>
      </c>
      <c r="J545">
        <v>26</v>
      </c>
      <c r="K545" t="s">
        <v>1594</v>
      </c>
      <c r="L545" t="s">
        <v>1598</v>
      </c>
      <c r="M545" t="str">
        <f>IF(Table1[[#This Row],[Quantity]]&gt;2,"Bulk Order","Normal Order")</f>
        <v>Bulk Order</v>
      </c>
      <c r="N545" t="str">
        <f>_xlfn.CONCAT(Table1[[#This Row],[Category]],"-",Table1[[#This Row],[City]])</f>
        <v>Home-Hyderabad</v>
      </c>
      <c r="O545" t="str">
        <f>LEFT(Table1[[#This Row],[Category]],3)</f>
        <v>Hom</v>
      </c>
      <c r="P545" s="2"/>
    </row>
    <row r="546" spans="1:16" x14ac:dyDescent="0.35">
      <c r="A546" t="s">
        <v>556</v>
      </c>
      <c r="B546" t="s">
        <v>1213</v>
      </c>
      <c r="C546" t="s">
        <v>1226</v>
      </c>
      <c r="D546">
        <v>4205</v>
      </c>
      <c r="E546">
        <v>3</v>
      </c>
      <c r="F546" t="s">
        <v>1515</v>
      </c>
      <c r="G546" t="s">
        <v>1586</v>
      </c>
      <c r="H546" t="s">
        <v>1590</v>
      </c>
      <c r="I546">
        <v>12615</v>
      </c>
      <c r="J546">
        <v>61</v>
      </c>
      <c r="K546" t="s">
        <v>1594</v>
      </c>
      <c r="L546" t="s">
        <v>1597</v>
      </c>
      <c r="M546" t="str">
        <f>IF(Table1[[#This Row],[Quantity]]&gt;2,"Bulk Order","Normal Order")</f>
        <v>Bulk Order</v>
      </c>
      <c r="N546" t="str">
        <f>_xlfn.CONCAT(Table1[[#This Row],[Category]],"-",Table1[[#This Row],[City]])</f>
        <v>Home-Hyderabad</v>
      </c>
      <c r="O546" t="str">
        <f>LEFT(Table1[[#This Row],[Category]],3)</f>
        <v>Hom</v>
      </c>
      <c r="P546" s="2"/>
    </row>
    <row r="547" spans="1:16" x14ac:dyDescent="0.35">
      <c r="A547" t="s">
        <v>557</v>
      </c>
      <c r="B547" t="s">
        <v>1221</v>
      </c>
      <c r="C547" t="s">
        <v>1228</v>
      </c>
      <c r="D547">
        <v>4068</v>
      </c>
      <c r="E547">
        <v>2</v>
      </c>
      <c r="F547" t="s">
        <v>1342</v>
      </c>
      <c r="G547" t="s">
        <v>1586</v>
      </c>
      <c r="H547" t="s">
        <v>1591</v>
      </c>
      <c r="I547">
        <v>8136</v>
      </c>
      <c r="J547">
        <v>45</v>
      </c>
      <c r="K547" t="s">
        <v>1595</v>
      </c>
      <c r="L547" t="s">
        <v>1597</v>
      </c>
      <c r="M547" t="str">
        <f>IF(Table1[[#This Row],[Quantity]]&gt;2,"Bulk Order","Normal Order")</f>
        <v>Normal Order</v>
      </c>
      <c r="N547" t="str">
        <f>_xlfn.CONCAT(Table1[[#This Row],[Category]],"-",Table1[[#This Row],[City]])</f>
        <v>Electronics-Hyderabad</v>
      </c>
      <c r="O547" t="str">
        <f>LEFT(Table1[[#This Row],[Category]],3)</f>
        <v>Ele</v>
      </c>
      <c r="P547" s="2"/>
    </row>
    <row r="548" spans="1:16" x14ac:dyDescent="0.35">
      <c r="A548" t="s">
        <v>558</v>
      </c>
      <c r="B548" t="s">
        <v>1215</v>
      </c>
      <c r="C548" t="s">
        <v>1228</v>
      </c>
      <c r="D548">
        <v>3951</v>
      </c>
      <c r="E548">
        <v>2</v>
      </c>
      <c r="F548" t="s">
        <v>1430</v>
      </c>
      <c r="G548" t="s">
        <v>1588</v>
      </c>
      <c r="H548" t="s">
        <v>1590</v>
      </c>
      <c r="I548">
        <v>7902</v>
      </c>
      <c r="J548">
        <v>49</v>
      </c>
      <c r="K548" t="s">
        <v>1594</v>
      </c>
      <c r="L548" t="s">
        <v>1598</v>
      </c>
      <c r="M548" t="str">
        <f>IF(Table1[[#This Row],[Quantity]]&gt;2,"Bulk Order","Normal Order")</f>
        <v>Normal Order</v>
      </c>
      <c r="N548" t="str">
        <f>_xlfn.CONCAT(Table1[[#This Row],[Category]],"-",Table1[[#This Row],[City]])</f>
        <v>Electronics-Delhi</v>
      </c>
      <c r="O548" t="str">
        <f>LEFT(Table1[[#This Row],[Category]],3)</f>
        <v>Ele</v>
      </c>
      <c r="P548" s="2"/>
    </row>
    <row r="549" spans="1:16" x14ac:dyDescent="0.35">
      <c r="A549" t="s">
        <v>559</v>
      </c>
      <c r="B549" t="s">
        <v>1212</v>
      </c>
      <c r="C549" t="s">
        <v>1225</v>
      </c>
      <c r="D549">
        <v>2083</v>
      </c>
      <c r="E549">
        <v>3</v>
      </c>
      <c r="F549" t="s">
        <v>1423</v>
      </c>
      <c r="G549" t="s">
        <v>1584</v>
      </c>
      <c r="H549" t="s">
        <v>1591</v>
      </c>
      <c r="I549">
        <v>6249</v>
      </c>
      <c r="J549">
        <v>57</v>
      </c>
      <c r="K549" t="s">
        <v>1595</v>
      </c>
      <c r="L549" t="s">
        <v>1598</v>
      </c>
      <c r="M549" t="str">
        <f>IF(Table1[[#This Row],[Quantity]]&gt;2,"Bulk Order","Normal Order")</f>
        <v>Bulk Order</v>
      </c>
      <c r="N549" t="str">
        <f>_xlfn.CONCAT(Table1[[#This Row],[Category]],"-",Table1[[#This Row],[City]])</f>
        <v>Fitness-Chennai</v>
      </c>
      <c r="O549" t="str">
        <f>LEFT(Table1[[#This Row],[Category]],3)</f>
        <v>Fit</v>
      </c>
      <c r="P549" s="2"/>
    </row>
    <row r="550" spans="1:16" x14ac:dyDescent="0.35">
      <c r="A550" t="s">
        <v>560</v>
      </c>
      <c r="B550" t="s">
        <v>1215</v>
      </c>
      <c r="C550" t="s">
        <v>1227</v>
      </c>
      <c r="D550">
        <v>371</v>
      </c>
      <c r="E550">
        <v>2</v>
      </c>
      <c r="F550" t="s">
        <v>1478</v>
      </c>
      <c r="G550" t="s">
        <v>1586</v>
      </c>
      <c r="H550" t="s">
        <v>1590</v>
      </c>
      <c r="I550">
        <v>742</v>
      </c>
      <c r="J550">
        <v>89</v>
      </c>
      <c r="K550" t="s">
        <v>1595</v>
      </c>
      <c r="L550" t="s">
        <v>1599</v>
      </c>
      <c r="M550" t="str">
        <f>IF(Table1[[#This Row],[Quantity]]&gt;2,"Bulk Order","Normal Order")</f>
        <v>Normal Order</v>
      </c>
      <c r="N550" t="str">
        <f>_xlfn.CONCAT(Table1[[#This Row],[Category]],"-",Table1[[#This Row],[City]])</f>
        <v>Accessories-Hyderabad</v>
      </c>
      <c r="O550" t="str">
        <f>LEFT(Table1[[#This Row],[Category]],3)</f>
        <v>Acc</v>
      </c>
      <c r="P550" s="2"/>
    </row>
    <row r="551" spans="1:16" x14ac:dyDescent="0.35">
      <c r="A551" t="s">
        <v>561</v>
      </c>
      <c r="B551" t="s">
        <v>1221</v>
      </c>
      <c r="C551" t="s">
        <v>1226</v>
      </c>
      <c r="D551">
        <v>4639</v>
      </c>
      <c r="E551">
        <v>3</v>
      </c>
      <c r="F551" t="s">
        <v>1245</v>
      </c>
      <c r="G551" t="s">
        <v>1585</v>
      </c>
      <c r="H551" t="s">
        <v>1590</v>
      </c>
      <c r="I551">
        <v>13917</v>
      </c>
      <c r="J551">
        <v>31</v>
      </c>
      <c r="K551" t="s">
        <v>1595</v>
      </c>
      <c r="L551" t="s">
        <v>1599</v>
      </c>
      <c r="M551" t="str">
        <f>IF(Table1[[#This Row],[Quantity]]&gt;2,"Bulk Order","Normal Order")</f>
        <v>Bulk Order</v>
      </c>
      <c r="N551" t="str">
        <f>_xlfn.CONCAT(Table1[[#This Row],[Category]],"-",Table1[[#This Row],[City]])</f>
        <v>Home-Kolkata</v>
      </c>
      <c r="O551" t="str">
        <f>LEFT(Table1[[#This Row],[Category]],3)</f>
        <v>Hom</v>
      </c>
      <c r="P551" s="2"/>
    </row>
    <row r="552" spans="1:16" x14ac:dyDescent="0.35">
      <c r="A552" t="s">
        <v>562</v>
      </c>
      <c r="B552" t="s">
        <v>1213</v>
      </c>
      <c r="C552" t="s">
        <v>1227</v>
      </c>
      <c r="D552">
        <v>3428</v>
      </c>
      <c r="E552">
        <v>3</v>
      </c>
      <c r="F552" t="s">
        <v>1438</v>
      </c>
      <c r="G552" t="s">
        <v>1588</v>
      </c>
      <c r="H552" t="s">
        <v>1592</v>
      </c>
      <c r="I552">
        <v>10284</v>
      </c>
      <c r="J552">
        <v>49</v>
      </c>
      <c r="K552" t="s">
        <v>1594</v>
      </c>
      <c r="L552" t="s">
        <v>1599</v>
      </c>
      <c r="M552" t="str">
        <f>IF(Table1[[#This Row],[Quantity]]&gt;2,"Bulk Order","Normal Order")</f>
        <v>Bulk Order</v>
      </c>
      <c r="N552" t="str">
        <f>_xlfn.CONCAT(Table1[[#This Row],[Category]],"-",Table1[[#This Row],[City]])</f>
        <v>Accessories-Delhi</v>
      </c>
      <c r="O552" t="str">
        <f>LEFT(Table1[[#This Row],[Category]],3)</f>
        <v>Acc</v>
      </c>
      <c r="P552" s="2"/>
    </row>
    <row r="553" spans="1:16" x14ac:dyDescent="0.35">
      <c r="A553" t="s">
        <v>563</v>
      </c>
      <c r="B553" t="s">
        <v>1219</v>
      </c>
      <c r="C553" t="s">
        <v>1228</v>
      </c>
      <c r="D553">
        <v>4608</v>
      </c>
      <c r="E553">
        <v>2</v>
      </c>
      <c r="F553" t="s">
        <v>1245</v>
      </c>
      <c r="G553" t="s">
        <v>1586</v>
      </c>
      <c r="H553" t="s">
        <v>1591</v>
      </c>
      <c r="I553">
        <v>9216</v>
      </c>
      <c r="J553">
        <v>24</v>
      </c>
      <c r="K553" t="s">
        <v>1595</v>
      </c>
      <c r="L553" t="s">
        <v>1599</v>
      </c>
      <c r="M553" t="str">
        <f>IF(Table1[[#This Row],[Quantity]]&gt;2,"Bulk Order","Normal Order")</f>
        <v>Normal Order</v>
      </c>
      <c r="N553" t="str">
        <f>_xlfn.CONCAT(Table1[[#This Row],[Category]],"-",Table1[[#This Row],[City]])</f>
        <v>Electronics-Hyderabad</v>
      </c>
      <c r="O553" t="str">
        <f>LEFT(Table1[[#This Row],[Category]],3)</f>
        <v>Ele</v>
      </c>
      <c r="P553" s="2"/>
    </row>
    <row r="554" spans="1:16" x14ac:dyDescent="0.35">
      <c r="A554" t="s">
        <v>564</v>
      </c>
      <c r="B554" t="s">
        <v>1215</v>
      </c>
      <c r="C554" t="s">
        <v>1226</v>
      </c>
      <c r="D554">
        <v>1017</v>
      </c>
      <c r="E554">
        <v>4</v>
      </c>
      <c r="F554" t="s">
        <v>1516</v>
      </c>
      <c r="G554" t="s">
        <v>1587</v>
      </c>
      <c r="H554" t="s">
        <v>1591</v>
      </c>
      <c r="I554">
        <v>4068</v>
      </c>
      <c r="J554">
        <v>57</v>
      </c>
      <c r="K554" t="s">
        <v>1596</v>
      </c>
      <c r="L554" t="s">
        <v>1598</v>
      </c>
      <c r="M554" t="str">
        <f>IF(Table1[[#This Row],[Quantity]]&gt;2,"Bulk Order","Normal Order")</f>
        <v>Bulk Order</v>
      </c>
      <c r="N554" t="str">
        <f>_xlfn.CONCAT(Table1[[#This Row],[Category]],"-",Table1[[#This Row],[City]])</f>
        <v>Home-Mumbai</v>
      </c>
      <c r="O554" t="str">
        <f>LEFT(Table1[[#This Row],[Category]],3)</f>
        <v>Hom</v>
      </c>
      <c r="P554" s="2"/>
    </row>
    <row r="555" spans="1:16" x14ac:dyDescent="0.35">
      <c r="A555" t="s">
        <v>565</v>
      </c>
      <c r="B555" t="s">
        <v>1221</v>
      </c>
      <c r="C555" t="s">
        <v>1224</v>
      </c>
      <c r="D555">
        <v>1593</v>
      </c>
      <c r="E555">
        <v>4</v>
      </c>
      <c r="F555" t="s">
        <v>1378</v>
      </c>
      <c r="G555" t="s">
        <v>1585</v>
      </c>
      <c r="H555" t="s">
        <v>1591</v>
      </c>
      <c r="I555">
        <v>6372</v>
      </c>
      <c r="J555">
        <v>72</v>
      </c>
      <c r="K555" t="s">
        <v>1595</v>
      </c>
      <c r="L555" t="s">
        <v>1598</v>
      </c>
      <c r="M555" t="str">
        <f>IF(Table1[[#This Row],[Quantity]]&gt;2,"Bulk Order","Normal Order")</f>
        <v>Bulk Order</v>
      </c>
      <c r="N555" t="str">
        <f>_xlfn.CONCAT(Table1[[#This Row],[Category]],"-",Table1[[#This Row],[City]])</f>
        <v>Lifestyle-Kolkata</v>
      </c>
      <c r="O555" t="str">
        <f>LEFT(Table1[[#This Row],[Category]],3)</f>
        <v>Lif</v>
      </c>
      <c r="P555" s="2"/>
    </row>
    <row r="556" spans="1:16" x14ac:dyDescent="0.35">
      <c r="A556" t="s">
        <v>566</v>
      </c>
      <c r="B556" t="s">
        <v>1220</v>
      </c>
      <c r="C556" t="s">
        <v>1226</v>
      </c>
      <c r="D556">
        <v>1610</v>
      </c>
      <c r="E556">
        <v>1</v>
      </c>
      <c r="F556" t="s">
        <v>1448</v>
      </c>
      <c r="G556" t="s">
        <v>1584</v>
      </c>
      <c r="H556" t="s">
        <v>1591</v>
      </c>
      <c r="I556">
        <v>1610</v>
      </c>
      <c r="J556">
        <v>41</v>
      </c>
      <c r="K556" t="s">
        <v>1595</v>
      </c>
      <c r="L556" t="s">
        <v>1599</v>
      </c>
      <c r="M556" t="str">
        <f>IF(Table1[[#This Row],[Quantity]]&gt;2,"Bulk Order","Normal Order")</f>
        <v>Normal Order</v>
      </c>
      <c r="N556" t="str">
        <f>_xlfn.CONCAT(Table1[[#This Row],[Category]],"-",Table1[[#This Row],[City]])</f>
        <v>Home-Chennai</v>
      </c>
      <c r="O556" t="str">
        <f>LEFT(Table1[[#This Row],[Category]],3)</f>
        <v>Hom</v>
      </c>
      <c r="P556" s="2"/>
    </row>
    <row r="557" spans="1:16" x14ac:dyDescent="0.35">
      <c r="A557" t="s">
        <v>567</v>
      </c>
      <c r="B557" t="s">
        <v>1220</v>
      </c>
      <c r="C557" t="s">
        <v>1226</v>
      </c>
      <c r="D557">
        <v>3873</v>
      </c>
      <c r="E557">
        <v>1</v>
      </c>
      <c r="F557" t="s">
        <v>1517</v>
      </c>
      <c r="G557" t="s">
        <v>1588</v>
      </c>
      <c r="H557" t="s">
        <v>1591</v>
      </c>
      <c r="I557">
        <v>3873</v>
      </c>
      <c r="J557">
        <v>78</v>
      </c>
      <c r="K557" t="s">
        <v>1594</v>
      </c>
      <c r="L557" t="s">
        <v>1597</v>
      </c>
      <c r="M557" t="str">
        <f>IF(Table1[[#This Row],[Quantity]]&gt;2,"Bulk Order","Normal Order")</f>
        <v>Normal Order</v>
      </c>
      <c r="N557" t="str">
        <f>_xlfn.CONCAT(Table1[[#This Row],[Category]],"-",Table1[[#This Row],[City]])</f>
        <v>Home-Delhi</v>
      </c>
      <c r="O557" t="str">
        <f>LEFT(Table1[[#This Row],[Category]],3)</f>
        <v>Hom</v>
      </c>
      <c r="P557" s="2"/>
    </row>
    <row r="558" spans="1:16" x14ac:dyDescent="0.35">
      <c r="A558" t="s">
        <v>568</v>
      </c>
      <c r="B558" t="s">
        <v>1217</v>
      </c>
      <c r="C558" t="s">
        <v>1225</v>
      </c>
      <c r="D558">
        <v>1335</v>
      </c>
      <c r="E558">
        <v>3</v>
      </c>
      <c r="F558" t="s">
        <v>1393</v>
      </c>
      <c r="G558" t="s">
        <v>1588</v>
      </c>
      <c r="H558" t="s">
        <v>1592</v>
      </c>
      <c r="I558">
        <v>4005</v>
      </c>
      <c r="J558">
        <v>89</v>
      </c>
      <c r="K558" t="s">
        <v>1594</v>
      </c>
      <c r="L558" t="s">
        <v>1597</v>
      </c>
      <c r="M558" t="str">
        <f>IF(Table1[[#This Row],[Quantity]]&gt;2,"Bulk Order","Normal Order")</f>
        <v>Bulk Order</v>
      </c>
      <c r="N558" t="str">
        <f>_xlfn.CONCAT(Table1[[#This Row],[Category]],"-",Table1[[#This Row],[City]])</f>
        <v>Fitness-Delhi</v>
      </c>
      <c r="O558" t="str">
        <f>LEFT(Table1[[#This Row],[Category]],3)</f>
        <v>Fit</v>
      </c>
      <c r="P558" s="2"/>
    </row>
    <row r="559" spans="1:16" x14ac:dyDescent="0.35">
      <c r="A559" t="s">
        <v>569</v>
      </c>
      <c r="B559" t="s">
        <v>1216</v>
      </c>
      <c r="C559" t="s">
        <v>1226</v>
      </c>
      <c r="D559">
        <v>1839</v>
      </c>
      <c r="E559">
        <v>2</v>
      </c>
      <c r="F559" t="s">
        <v>1379</v>
      </c>
      <c r="G559" t="s">
        <v>1587</v>
      </c>
      <c r="H559" t="s">
        <v>1590</v>
      </c>
      <c r="I559">
        <v>3678</v>
      </c>
      <c r="J559">
        <v>45</v>
      </c>
      <c r="K559" t="s">
        <v>1595</v>
      </c>
      <c r="L559" t="s">
        <v>1597</v>
      </c>
      <c r="M559" t="str">
        <f>IF(Table1[[#This Row],[Quantity]]&gt;2,"Bulk Order","Normal Order")</f>
        <v>Normal Order</v>
      </c>
      <c r="N559" t="str">
        <f>_xlfn.CONCAT(Table1[[#This Row],[Category]],"-",Table1[[#This Row],[City]])</f>
        <v>Home-Mumbai</v>
      </c>
      <c r="O559" t="str">
        <f>LEFT(Table1[[#This Row],[Category]],3)</f>
        <v>Hom</v>
      </c>
      <c r="P559" s="2"/>
    </row>
    <row r="560" spans="1:16" x14ac:dyDescent="0.35">
      <c r="A560" t="s">
        <v>570</v>
      </c>
      <c r="B560" t="s">
        <v>1217</v>
      </c>
      <c r="C560" t="s">
        <v>1228</v>
      </c>
      <c r="D560">
        <v>1575</v>
      </c>
      <c r="E560">
        <v>1</v>
      </c>
      <c r="F560" t="s">
        <v>1321</v>
      </c>
      <c r="G560" t="s">
        <v>1586</v>
      </c>
      <c r="H560" t="s">
        <v>1591</v>
      </c>
      <c r="I560">
        <v>1575</v>
      </c>
      <c r="J560">
        <v>24</v>
      </c>
      <c r="K560" t="s">
        <v>1595</v>
      </c>
      <c r="L560" t="s">
        <v>1598</v>
      </c>
      <c r="M560" t="str">
        <f>IF(Table1[[#This Row],[Quantity]]&gt;2,"Bulk Order","Normal Order")</f>
        <v>Normal Order</v>
      </c>
      <c r="N560" t="str">
        <f>_xlfn.CONCAT(Table1[[#This Row],[Category]],"-",Table1[[#This Row],[City]])</f>
        <v>Electronics-Hyderabad</v>
      </c>
      <c r="O560" t="str">
        <f>LEFT(Table1[[#This Row],[Category]],3)</f>
        <v>Ele</v>
      </c>
      <c r="P560" s="2"/>
    </row>
    <row r="561" spans="1:16" x14ac:dyDescent="0.35">
      <c r="A561" t="s">
        <v>571</v>
      </c>
      <c r="B561" t="s">
        <v>1216</v>
      </c>
      <c r="C561" t="s">
        <v>1228</v>
      </c>
      <c r="D561">
        <v>4489</v>
      </c>
      <c r="E561">
        <v>4</v>
      </c>
      <c r="F561" t="s">
        <v>1350</v>
      </c>
      <c r="G561" t="s">
        <v>1588</v>
      </c>
      <c r="H561" t="s">
        <v>1592</v>
      </c>
      <c r="I561">
        <v>17956</v>
      </c>
      <c r="J561">
        <v>62</v>
      </c>
      <c r="K561" t="s">
        <v>1596</v>
      </c>
      <c r="L561" t="s">
        <v>1599</v>
      </c>
      <c r="M561" t="str">
        <f>IF(Table1[[#This Row],[Quantity]]&gt;2,"Bulk Order","Normal Order")</f>
        <v>Bulk Order</v>
      </c>
      <c r="N561" t="str">
        <f>_xlfn.CONCAT(Table1[[#This Row],[Category]],"-",Table1[[#This Row],[City]])</f>
        <v>Electronics-Delhi</v>
      </c>
      <c r="O561" t="str">
        <f>LEFT(Table1[[#This Row],[Category]],3)</f>
        <v>Ele</v>
      </c>
      <c r="P561" s="2"/>
    </row>
    <row r="562" spans="1:16" x14ac:dyDescent="0.35">
      <c r="A562" t="s">
        <v>572</v>
      </c>
      <c r="B562" t="s">
        <v>1220</v>
      </c>
      <c r="C562" t="s">
        <v>1227</v>
      </c>
      <c r="D562">
        <v>642</v>
      </c>
      <c r="E562">
        <v>2</v>
      </c>
      <c r="F562" t="s">
        <v>1234</v>
      </c>
      <c r="G562" t="s">
        <v>1589</v>
      </c>
      <c r="H562" t="s">
        <v>1593</v>
      </c>
      <c r="I562">
        <v>1284</v>
      </c>
      <c r="J562">
        <v>82</v>
      </c>
      <c r="K562" t="s">
        <v>1595</v>
      </c>
      <c r="L562" t="s">
        <v>1598</v>
      </c>
      <c r="M562" t="str">
        <f>IF(Table1[[#This Row],[Quantity]]&gt;2,"Bulk Order","Normal Order")</f>
        <v>Normal Order</v>
      </c>
      <c r="N562" t="str">
        <f>_xlfn.CONCAT(Table1[[#This Row],[Category]],"-",Table1[[#This Row],[City]])</f>
        <v>Accessories-Bangalore</v>
      </c>
      <c r="O562" t="str">
        <f>LEFT(Table1[[#This Row],[Category]],3)</f>
        <v>Acc</v>
      </c>
      <c r="P562" s="2"/>
    </row>
    <row r="563" spans="1:16" x14ac:dyDescent="0.35">
      <c r="A563" t="s">
        <v>573</v>
      </c>
      <c r="B563" t="s">
        <v>1218</v>
      </c>
      <c r="C563" t="s">
        <v>1225</v>
      </c>
      <c r="D563">
        <v>774</v>
      </c>
      <c r="E563">
        <v>3</v>
      </c>
      <c r="F563" t="s">
        <v>1518</v>
      </c>
      <c r="G563" t="s">
        <v>1585</v>
      </c>
      <c r="H563" t="s">
        <v>1592</v>
      </c>
      <c r="I563">
        <v>2322</v>
      </c>
      <c r="J563">
        <v>31</v>
      </c>
      <c r="K563" t="s">
        <v>1595</v>
      </c>
      <c r="L563" t="s">
        <v>1599</v>
      </c>
      <c r="M563" t="str">
        <f>IF(Table1[[#This Row],[Quantity]]&gt;2,"Bulk Order","Normal Order")</f>
        <v>Bulk Order</v>
      </c>
      <c r="N563" t="str">
        <f>_xlfn.CONCAT(Table1[[#This Row],[Category]],"-",Table1[[#This Row],[City]])</f>
        <v>Fitness-Kolkata</v>
      </c>
      <c r="O563" t="str">
        <f>LEFT(Table1[[#This Row],[Category]],3)</f>
        <v>Fit</v>
      </c>
      <c r="P563" s="2"/>
    </row>
    <row r="564" spans="1:16" x14ac:dyDescent="0.35">
      <c r="A564" t="s">
        <v>574</v>
      </c>
      <c r="B564" t="s">
        <v>1218</v>
      </c>
      <c r="C564" t="s">
        <v>1224</v>
      </c>
      <c r="D564">
        <v>3935</v>
      </c>
      <c r="E564">
        <v>2</v>
      </c>
      <c r="F564" t="s">
        <v>1284</v>
      </c>
      <c r="G564" t="s">
        <v>1585</v>
      </c>
      <c r="H564" t="s">
        <v>1592</v>
      </c>
      <c r="I564">
        <v>7870</v>
      </c>
      <c r="J564">
        <v>58</v>
      </c>
      <c r="K564" t="s">
        <v>1595</v>
      </c>
      <c r="L564" t="s">
        <v>1599</v>
      </c>
      <c r="M564" t="str">
        <f>IF(Table1[[#This Row],[Quantity]]&gt;2,"Bulk Order","Normal Order")</f>
        <v>Normal Order</v>
      </c>
      <c r="N564" t="str">
        <f>_xlfn.CONCAT(Table1[[#This Row],[Category]],"-",Table1[[#This Row],[City]])</f>
        <v>Lifestyle-Kolkata</v>
      </c>
      <c r="O564" t="str">
        <f>LEFT(Table1[[#This Row],[Category]],3)</f>
        <v>Lif</v>
      </c>
      <c r="P564" s="2"/>
    </row>
    <row r="565" spans="1:16" x14ac:dyDescent="0.35">
      <c r="A565" t="s">
        <v>575</v>
      </c>
      <c r="B565" t="s">
        <v>1216</v>
      </c>
      <c r="C565" t="s">
        <v>1228</v>
      </c>
      <c r="D565">
        <v>2815</v>
      </c>
      <c r="E565">
        <v>3</v>
      </c>
      <c r="F565" t="s">
        <v>1519</v>
      </c>
      <c r="G565" t="s">
        <v>1586</v>
      </c>
      <c r="H565" t="s">
        <v>1592</v>
      </c>
      <c r="I565">
        <v>8445</v>
      </c>
      <c r="J565">
        <v>65</v>
      </c>
      <c r="K565" t="s">
        <v>1594</v>
      </c>
      <c r="L565" t="s">
        <v>1599</v>
      </c>
      <c r="M565" t="str">
        <f>IF(Table1[[#This Row],[Quantity]]&gt;2,"Bulk Order","Normal Order")</f>
        <v>Bulk Order</v>
      </c>
      <c r="N565" t="str">
        <f>_xlfn.CONCAT(Table1[[#This Row],[Category]],"-",Table1[[#This Row],[City]])</f>
        <v>Electronics-Hyderabad</v>
      </c>
      <c r="O565" t="str">
        <f>LEFT(Table1[[#This Row],[Category]],3)</f>
        <v>Ele</v>
      </c>
      <c r="P565" s="2"/>
    </row>
    <row r="566" spans="1:16" x14ac:dyDescent="0.35">
      <c r="A566" t="s">
        <v>576</v>
      </c>
      <c r="B566" t="s">
        <v>1217</v>
      </c>
      <c r="C566" t="s">
        <v>1227</v>
      </c>
      <c r="D566">
        <v>4936</v>
      </c>
      <c r="E566">
        <v>2</v>
      </c>
      <c r="F566" t="s">
        <v>1299</v>
      </c>
      <c r="G566" t="s">
        <v>1589</v>
      </c>
      <c r="H566" t="s">
        <v>1591</v>
      </c>
      <c r="I566">
        <v>9872</v>
      </c>
      <c r="J566">
        <v>56</v>
      </c>
      <c r="K566" t="s">
        <v>1594</v>
      </c>
      <c r="L566" t="s">
        <v>1599</v>
      </c>
      <c r="M566" t="str">
        <f>IF(Table1[[#This Row],[Quantity]]&gt;2,"Bulk Order","Normal Order")</f>
        <v>Normal Order</v>
      </c>
      <c r="N566" t="str">
        <f>_xlfn.CONCAT(Table1[[#This Row],[Category]],"-",Table1[[#This Row],[City]])</f>
        <v>Accessories-Bangalore</v>
      </c>
      <c r="O566" t="str">
        <f>LEFT(Table1[[#This Row],[Category]],3)</f>
        <v>Acc</v>
      </c>
      <c r="P566" s="2"/>
    </row>
    <row r="567" spans="1:16" x14ac:dyDescent="0.35">
      <c r="A567" t="s">
        <v>577</v>
      </c>
      <c r="B567" t="s">
        <v>1217</v>
      </c>
      <c r="C567" t="s">
        <v>1226</v>
      </c>
      <c r="D567">
        <v>4555</v>
      </c>
      <c r="E567">
        <v>1</v>
      </c>
      <c r="F567" t="s">
        <v>1300</v>
      </c>
      <c r="G567" t="s">
        <v>1586</v>
      </c>
      <c r="H567" t="s">
        <v>1593</v>
      </c>
      <c r="I567">
        <v>4555</v>
      </c>
      <c r="J567">
        <v>33</v>
      </c>
      <c r="K567" t="s">
        <v>1595</v>
      </c>
      <c r="L567" t="s">
        <v>1599</v>
      </c>
      <c r="M567" t="str">
        <f>IF(Table1[[#This Row],[Quantity]]&gt;2,"Bulk Order","Normal Order")</f>
        <v>Normal Order</v>
      </c>
      <c r="N567" t="str">
        <f>_xlfn.CONCAT(Table1[[#This Row],[Category]],"-",Table1[[#This Row],[City]])</f>
        <v>Home-Hyderabad</v>
      </c>
      <c r="O567" t="str">
        <f>LEFT(Table1[[#This Row],[Category]],3)</f>
        <v>Hom</v>
      </c>
      <c r="P567" s="2"/>
    </row>
    <row r="568" spans="1:16" x14ac:dyDescent="0.35">
      <c r="A568" t="s">
        <v>578</v>
      </c>
      <c r="B568" t="s">
        <v>1223</v>
      </c>
      <c r="C568" t="s">
        <v>1224</v>
      </c>
      <c r="D568">
        <v>1196</v>
      </c>
      <c r="E568">
        <v>3</v>
      </c>
      <c r="F568" t="s">
        <v>1353</v>
      </c>
      <c r="G568" t="s">
        <v>1584</v>
      </c>
      <c r="H568" t="s">
        <v>1591</v>
      </c>
      <c r="I568">
        <v>3588</v>
      </c>
      <c r="J568">
        <v>48</v>
      </c>
      <c r="K568" t="s">
        <v>1595</v>
      </c>
      <c r="L568" t="s">
        <v>1598</v>
      </c>
      <c r="M568" t="str">
        <f>IF(Table1[[#This Row],[Quantity]]&gt;2,"Bulk Order","Normal Order")</f>
        <v>Bulk Order</v>
      </c>
      <c r="N568" t="str">
        <f>_xlfn.CONCAT(Table1[[#This Row],[Category]],"-",Table1[[#This Row],[City]])</f>
        <v>Lifestyle-Chennai</v>
      </c>
      <c r="O568" t="str">
        <f>LEFT(Table1[[#This Row],[Category]],3)</f>
        <v>Lif</v>
      </c>
      <c r="P568" s="2"/>
    </row>
    <row r="569" spans="1:16" x14ac:dyDescent="0.35">
      <c r="A569" t="s">
        <v>579</v>
      </c>
      <c r="B569" t="s">
        <v>1222</v>
      </c>
      <c r="C569" t="s">
        <v>1224</v>
      </c>
      <c r="D569">
        <v>786</v>
      </c>
      <c r="E569">
        <v>1</v>
      </c>
      <c r="F569" t="s">
        <v>1380</v>
      </c>
      <c r="G569" t="s">
        <v>1585</v>
      </c>
      <c r="H569" t="s">
        <v>1593</v>
      </c>
      <c r="I569">
        <v>786</v>
      </c>
      <c r="J569">
        <v>47</v>
      </c>
      <c r="K569" t="s">
        <v>1596</v>
      </c>
      <c r="L569" t="s">
        <v>1598</v>
      </c>
      <c r="M569" t="str">
        <f>IF(Table1[[#This Row],[Quantity]]&gt;2,"Bulk Order","Normal Order")</f>
        <v>Normal Order</v>
      </c>
      <c r="N569" t="str">
        <f>_xlfn.CONCAT(Table1[[#This Row],[Category]],"-",Table1[[#This Row],[City]])</f>
        <v>Lifestyle-Kolkata</v>
      </c>
      <c r="O569" t="str">
        <f>LEFT(Table1[[#This Row],[Category]],3)</f>
        <v>Lif</v>
      </c>
      <c r="P569" s="2"/>
    </row>
    <row r="570" spans="1:16" x14ac:dyDescent="0.35">
      <c r="A570" t="s">
        <v>580</v>
      </c>
      <c r="B570" t="s">
        <v>1221</v>
      </c>
      <c r="C570" t="s">
        <v>1225</v>
      </c>
      <c r="D570">
        <v>3821</v>
      </c>
      <c r="E570">
        <v>3</v>
      </c>
      <c r="F570" t="s">
        <v>1384</v>
      </c>
      <c r="G570" t="s">
        <v>1589</v>
      </c>
      <c r="H570" t="s">
        <v>1590</v>
      </c>
      <c r="I570">
        <v>11463</v>
      </c>
      <c r="J570">
        <v>28</v>
      </c>
      <c r="K570" t="s">
        <v>1595</v>
      </c>
      <c r="L570" t="s">
        <v>1597</v>
      </c>
      <c r="M570" t="str">
        <f>IF(Table1[[#This Row],[Quantity]]&gt;2,"Bulk Order","Normal Order")</f>
        <v>Bulk Order</v>
      </c>
      <c r="N570" t="str">
        <f>_xlfn.CONCAT(Table1[[#This Row],[Category]],"-",Table1[[#This Row],[City]])</f>
        <v>Fitness-Bangalore</v>
      </c>
      <c r="O570" t="str">
        <f>LEFT(Table1[[#This Row],[Category]],3)</f>
        <v>Fit</v>
      </c>
      <c r="P570" s="2"/>
    </row>
    <row r="571" spans="1:16" x14ac:dyDescent="0.35">
      <c r="A571" t="s">
        <v>581</v>
      </c>
      <c r="B571" t="s">
        <v>1216</v>
      </c>
      <c r="C571" t="s">
        <v>1226</v>
      </c>
      <c r="D571">
        <v>1315</v>
      </c>
      <c r="E571">
        <v>2</v>
      </c>
      <c r="F571" t="s">
        <v>1405</v>
      </c>
      <c r="G571" t="s">
        <v>1586</v>
      </c>
      <c r="H571" t="s">
        <v>1590</v>
      </c>
      <c r="I571">
        <v>2630</v>
      </c>
      <c r="J571">
        <v>73</v>
      </c>
      <c r="K571" t="s">
        <v>1595</v>
      </c>
      <c r="L571" t="s">
        <v>1597</v>
      </c>
      <c r="M571" t="str">
        <f>IF(Table1[[#This Row],[Quantity]]&gt;2,"Bulk Order","Normal Order")</f>
        <v>Normal Order</v>
      </c>
      <c r="N571" t="str">
        <f>_xlfn.CONCAT(Table1[[#This Row],[Category]],"-",Table1[[#This Row],[City]])</f>
        <v>Home-Hyderabad</v>
      </c>
      <c r="O571" t="str">
        <f>LEFT(Table1[[#This Row],[Category]],3)</f>
        <v>Hom</v>
      </c>
      <c r="P571" s="2"/>
    </row>
    <row r="572" spans="1:16" x14ac:dyDescent="0.35">
      <c r="A572" t="s">
        <v>582</v>
      </c>
      <c r="B572" t="s">
        <v>1219</v>
      </c>
      <c r="C572" t="s">
        <v>1226</v>
      </c>
      <c r="D572">
        <v>4569</v>
      </c>
      <c r="E572">
        <v>2</v>
      </c>
      <c r="F572" t="s">
        <v>1520</v>
      </c>
      <c r="G572" t="s">
        <v>1586</v>
      </c>
      <c r="H572" t="s">
        <v>1591</v>
      </c>
      <c r="I572">
        <v>9138</v>
      </c>
      <c r="J572">
        <v>40</v>
      </c>
      <c r="K572" t="s">
        <v>1595</v>
      </c>
      <c r="L572" t="s">
        <v>1598</v>
      </c>
      <c r="M572" t="str">
        <f>IF(Table1[[#This Row],[Quantity]]&gt;2,"Bulk Order","Normal Order")</f>
        <v>Normal Order</v>
      </c>
      <c r="N572" t="str">
        <f>_xlfn.CONCAT(Table1[[#This Row],[Category]],"-",Table1[[#This Row],[City]])</f>
        <v>Home-Hyderabad</v>
      </c>
      <c r="O572" t="str">
        <f>LEFT(Table1[[#This Row],[Category]],3)</f>
        <v>Hom</v>
      </c>
      <c r="P572" s="2"/>
    </row>
    <row r="573" spans="1:16" x14ac:dyDescent="0.35">
      <c r="A573" t="s">
        <v>583</v>
      </c>
      <c r="B573" t="s">
        <v>1216</v>
      </c>
      <c r="C573" t="s">
        <v>1226</v>
      </c>
      <c r="D573">
        <v>1836</v>
      </c>
      <c r="E573">
        <v>3</v>
      </c>
      <c r="F573" t="s">
        <v>1450</v>
      </c>
      <c r="G573" t="s">
        <v>1587</v>
      </c>
      <c r="H573" t="s">
        <v>1591</v>
      </c>
      <c r="I573">
        <v>5508</v>
      </c>
      <c r="J573">
        <v>21</v>
      </c>
      <c r="K573" t="s">
        <v>1595</v>
      </c>
      <c r="L573" t="s">
        <v>1597</v>
      </c>
      <c r="M573" t="str">
        <f>IF(Table1[[#This Row],[Quantity]]&gt;2,"Bulk Order","Normal Order")</f>
        <v>Bulk Order</v>
      </c>
      <c r="N573" t="str">
        <f>_xlfn.CONCAT(Table1[[#This Row],[Category]],"-",Table1[[#This Row],[City]])</f>
        <v>Home-Mumbai</v>
      </c>
      <c r="O573" t="str">
        <f>LEFT(Table1[[#This Row],[Category]],3)</f>
        <v>Hom</v>
      </c>
      <c r="P573" s="2"/>
    </row>
    <row r="574" spans="1:16" x14ac:dyDescent="0.35">
      <c r="A574" t="s">
        <v>584</v>
      </c>
      <c r="B574" t="s">
        <v>1217</v>
      </c>
      <c r="C574" t="s">
        <v>1225</v>
      </c>
      <c r="D574">
        <v>3044</v>
      </c>
      <c r="E574">
        <v>1</v>
      </c>
      <c r="F574" t="s">
        <v>1269</v>
      </c>
      <c r="G574" t="s">
        <v>1587</v>
      </c>
      <c r="H574" t="s">
        <v>1593</v>
      </c>
      <c r="I574">
        <v>3044</v>
      </c>
      <c r="J574">
        <v>21</v>
      </c>
      <c r="K574" t="s">
        <v>1595</v>
      </c>
      <c r="L574" t="s">
        <v>1598</v>
      </c>
      <c r="M574" t="str">
        <f>IF(Table1[[#This Row],[Quantity]]&gt;2,"Bulk Order","Normal Order")</f>
        <v>Normal Order</v>
      </c>
      <c r="N574" t="str">
        <f>_xlfn.CONCAT(Table1[[#This Row],[Category]],"-",Table1[[#This Row],[City]])</f>
        <v>Fitness-Mumbai</v>
      </c>
      <c r="O574" t="str">
        <f>LEFT(Table1[[#This Row],[Category]],3)</f>
        <v>Fit</v>
      </c>
      <c r="P574" s="2"/>
    </row>
    <row r="575" spans="1:16" x14ac:dyDescent="0.35">
      <c r="A575" t="s">
        <v>585</v>
      </c>
      <c r="B575" t="s">
        <v>1214</v>
      </c>
      <c r="C575" t="s">
        <v>1224</v>
      </c>
      <c r="D575">
        <v>2451</v>
      </c>
      <c r="E575">
        <v>1</v>
      </c>
      <c r="F575" t="s">
        <v>1399</v>
      </c>
      <c r="G575" t="s">
        <v>1588</v>
      </c>
      <c r="H575" t="s">
        <v>1593</v>
      </c>
      <c r="I575">
        <v>2451</v>
      </c>
      <c r="J575">
        <v>61</v>
      </c>
      <c r="K575" t="s">
        <v>1595</v>
      </c>
      <c r="L575" t="s">
        <v>1598</v>
      </c>
      <c r="M575" t="str">
        <f>IF(Table1[[#This Row],[Quantity]]&gt;2,"Bulk Order","Normal Order")</f>
        <v>Normal Order</v>
      </c>
      <c r="N575" t="str">
        <f>_xlfn.CONCAT(Table1[[#This Row],[Category]],"-",Table1[[#This Row],[City]])</f>
        <v>Lifestyle-Delhi</v>
      </c>
      <c r="O575" t="str">
        <f>LEFT(Table1[[#This Row],[Category]],3)</f>
        <v>Lif</v>
      </c>
      <c r="P575" s="2"/>
    </row>
    <row r="576" spans="1:16" x14ac:dyDescent="0.35">
      <c r="A576" t="s">
        <v>586</v>
      </c>
      <c r="B576" t="s">
        <v>1218</v>
      </c>
      <c r="C576" t="s">
        <v>1224</v>
      </c>
      <c r="D576">
        <v>3245</v>
      </c>
      <c r="E576">
        <v>4</v>
      </c>
      <c r="F576" t="s">
        <v>1324</v>
      </c>
      <c r="G576" t="s">
        <v>1585</v>
      </c>
      <c r="H576" t="s">
        <v>1590</v>
      </c>
      <c r="I576">
        <v>12980</v>
      </c>
      <c r="J576">
        <v>84</v>
      </c>
      <c r="K576" t="s">
        <v>1595</v>
      </c>
      <c r="L576" t="s">
        <v>1599</v>
      </c>
      <c r="M576" t="str">
        <f>IF(Table1[[#This Row],[Quantity]]&gt;2,"Bulk Order","Normal Order")</f>
        <v>Bulk Order</v>
      </c>
      <c r="N576" t="str">
        <f>_xlfn.CONCAT(Table1[[#This Row],[Category]],"-",Table1[[#This Row],[City]])</f>
        <v>Lifestyle-Kolkata</v>
      </c>
      <c r="O576" t="str">
        <f>LEFT(Table1[[#This Row],[Category]],3)</f>
        <v>Lif</v>
      </c>
      <c r="P576" s="2"/>
    </row>
    <row r="577" spans="1:16" x14ac:dyDescent="0.35">
      <c r="A577" t="s">
        <v>587</v>
      </c>
      <c r="B577" t="s">
        <v>1218</v>
      </c>
      <c r="C577" t="s">
        <v>1228</v>
      </c>
      <c r="D577">
        <v>2959</v>
      </c>
      <c r="E577">
        <v>1</v>
      </c>
      <c r="F577" t="s">
        <v>1342</v>
      </c>
      <c r="G577" t="s">
        <v>1586</v>
      </c>
      <c r="H577" t="s">
        <v>1590</v>
      </c>
      <c r="I577">
        <v>2959</v>
      </c>
      <c r="J577">
        <v>77</v>
      </c>
      <c r="K577" t="s">
        <v>1595</v>
      </c>
      <c r="L577" t="s">
        <v>1598</v>
      </c>
      <c r="M577" t="str">
        <f>IF(Table1[[#This Row],[Quantity]]&gt;2,"Bulk Order","Normal Order")</f>
        <v>Normal Order</v>
      </c>
      <c r="N577" t="str">
        <f>_xlfn.CONCAT(Table1[[#This Row],[Category]],"-",Table1[[#This Row],[City]])</f>
        <v>Electronics-Hyderabad</v>
      </c>
      <c r="O577" t="str">
        <f>LEFT(Table1[[#This Row],[Category]],3)</f>
        <v>Ele</v>
      </c>
      <c r="P577" s="2"/>
    </row>
    <row r="578" spans="1:16" x14ac:dyDescent="0.35">
      <c r="A578" t="s">
        <v>588</v>
      </c>
      <c r="B578" t="s">
        <v>1213</v>
      </c>
      <c r="C578" t="s">
        <v>1228</v>
      </c>
      <c r="D578">
        <v>1225</v>
      </c>
      <c r="E578">
        <v>4</v>
      </c>
      <c r="F578" t="s">
        <v>1351</v>
      </c>
      <c r="G578" t="s">
        <v>1588</v>
      </c>
      <c r="H578" t="s">
        <v>1590</v>
      </c>
      <c r="I578">
        <v>4900</v>
      </c>
      <c r="J578">
        <v>72</v>
      </c>
      <c r="K578" t="s">
        <v>1595</v>
      </c>
      <c r="L578" t="s">
        <v>1599</v>
      </c>
      <c r="M578" t="str">
        <f>IF(Table1[[#This Row],[Quantity]]&gt;2,"Bulk Order","Normal Order")</f>
        <v>Bulk Order</v>
      </c>
      <c r="N578" t="str">
        <f>_xlfn.CONCAT(Table1[[#This Row],[Category]],"-",Table1[[#This Row],[City]])</f>
        <v>Electronics-Delhi</v>
      </c>
      <c r="O578" t="str">
        <f>LEFT(Table1[[#This Row],[Category]],3)</f>
        <v>Ele</v>
      </c>
      <c r="P578" s="2"/>
    </row>
    <row r="579" spans="1:16" x14ac:dyDescent="0.35">
      <c r="A579" t="s">
        <v>589</v>
      </c>
      <c r="B579" t="s">
        <v>1222</v>
      </c>
      <c r="C579" t="s">
        <v>1227</v>
      </c>
      <c r="D579">
        <v>1967</v>
      </c>
      <c r="E579">
        <v>4</v>
      </c>
      <c r="F579" t="s">
        <v>1392</v>
      </c>
      <c r="G579" t="s">
        <v>1587</v>
      </c>
      <c r="H579" t="s">
        <v>1591</v>
      </c>
      <c r="I579">
        <v>7868</v>
      </c>
      <c r="J579">
        <v>95</v>
      </c>
      <c r="K579" t="s">
        <v>1594</v>
      </c>
      <c r="L579" t="s">
        <v>1598</v>
      </c>
      <c r="M579" t="str">
        <f>IF(Table1[[#This Row],[Quantity]]&gt;2,"Bulk Order","Normal Order")</f>
        <v>Bulk Order</v>
      </c>
      <c r="N579" t="str">
        <f>_xlfn.CONCAT(Table1[[#This Row],[Category]],"-",Table1[[#This Row],[City]])</f>
        <v>Accessories-Mumbai</v>
      </c>
      <c r="O579" t="str">
        <f>LEFT(Table1[[#This Row],[Category]],3)</f>
        <v>Acc</v>
      </c>
      <c r="P579" s="2"/>
    </row>
    <row r="580" spans="1:16" x14ac:dyDescent="0.35">
      <c r="A580" t="s">
        <v>590</v>
      </c>
      <c r="B580" t="s">
        <v>1220</v>
      </c>
      <c r="C580" t="s">
        <v>1226</v>
      </c>
      <c r="D580">
        <v>931</v>
      </c>
      <c r="E580">
        <v>3</v>
      </c>
      <c r="F580" t="s">
        <v>1358</v>
      </c>
      <c r="G580" t="s">
        <v>1589</v>
      </c>
      <c r="H580" t="s">
        <v>1593</v>
      </c>
      <c r="I580">
        <v>2793</v>
      </c>
      <c r="J580">
        <v>37</v>
      </c>
      <c r="K580" t="s">
        <v>1595</v>
      </c>
      <c r="L580" t="s">
        <v>1597</v>
      </c>
      <c r="M580" t="str">
        <f>IF(Table1[[#This Row],[Quantity]]&gt;2,"Bulk Order","Normal Order")</f>
        <v>Bulk Order</v>
      </c>
      <c r="N580" t="str">
        <f>_xlfn.CONCAT(Table1[[#This Row],[Category]],"-",Table1[[#This Row],[City]])</f>
        <v>Home-Bangalore</v>
      </c>
      <c r="O580" t="str">
        <f>LEFT(Table1[[#This Row],[Category]],3)</f>
        <v>Hom</v>
      </c>
      <c r="P580" s="2"/>
    </row>
    <row r="581" spans="1:16" x14ac:dyDescent="0.35">
      <c r="A581" t="s">
        <v>591</v>
      </c>
      <c r="B581" t="s">
        <v>1222</v>
      </c>
      <c r="C581" t="s">
        <v>1227</v>
      </c>
      <c r="D581">
        <v>4494</v>
      </c>
      <c r="E581">
        <v>1</v>
      </c>
      <c r="F581" t="s">
        <v>1308</v>
      </c>
      <c r="G581" t="s">
        <v>1585</v>
      </c>
      <c r="H581" t="s">
        <v>1591</v>
      </c>
      <c r="I581">
        <v>4494</v>
      </c>
      <c r="J581">
        <v>63</v>
      </c>
      <c r="K581" t="s">
        <v>1596</v>
      </c>
      <c r="L581" t="s">
        <v>1599</v>
      </c>
      <c r="M581" t="str">
        <f>IF(Table1[[#This Row],[Quantity]]&gt;2,"Bulk Order","Normal Order")</f>
        <v>Normal Order</v>
      </c>
      <c r="N581" t="str">
        <f>_xlfn.CONCAT(Table1[[#This Row],[Category]],"-",Table1[[#This Row],[City]])</f>
        <v>Accessories-Kolkata</v>
      </c>
      <c r="O581" t="str">
        <f>LEFT(Table1[[#This Row],[Category]],3)</f>
        <v>Acc</v>
      </c>
      <c r="P581" s="2"/>
    </row>
    <row r="582" spans="1:16" x14ac:dyDescent="0.35">
      <c r="A582" t="s">
        <v>592</v>
      </c>
      <c r="B582" t="s">
        <v>1214</v>
      </c>
      <c r="C582" t="s">
        <v>1226</v>
      </c>
      <c r="D582">
        <v>4378</v>
      </c>
      <c r="E582">
        <v>3</v>
      </c>
      <c r="F582" t="s">
        <v>1421</v>
      </c>
      <c r="G582" t="s">
        <v>1587</v>
      </c>
      <c r="H582" t="s">
        <v>1591</v>
      </c>
      <c r="I582">
        <v>13134</v>
      </c>
      <c r="J582">
        <v>25</v>
      </c>
      <c r="K582" t="s">
        <v>1594</v>
      </c>
      <c r="L582" t="s">
        <v>1599</v>
      </c>
      <c r="M582" t="str">
        <f>IF(Table1[[#This Row],[Quantity]]&gt;2,"Bulk Order","Normal Order")</f>
        <v>Bulk Order</v>
      </c>
      <c r="N582" t="str">
        <f>_xlfn.CONCAT(Table1[[#This Row],[Category]],"-",Table1[[#This Row],[City]])</f>
        <v>Home-Mumbai</v>
      </c>
      <c r="O582" t="str">
        <f>LEFT(Table1[[#This Row],[Category]],3)</f>
        <v>Hom</v>
      </c>
      <c r="P582" s="2"/>
    </row>
    <row r="583" spans="1:16" x14ac:dyDescent="0.35">
      <c r="A583" t="s">
        <v>593</v>
      </c>
      <c r="B583" t="s">
        <v>1218</v>
      </c>
      <c r="C583" t="s">
        <v>1224</v>
      </c>
      <c r="D583">
        <v>398</v>
      </c>
      <c r="E583">
        <v>1</v>
      </c>
      <c r="F583" t="s">
        <v>1387</v>
      </c>
      <c r="G583" t="s">
        <v>1586</v>
      </c>
      <c r="H583" t="s">
        <v>1593</v>
      </c>
      <c r="I583">
        <v>398</v>
      </c>
      <c r="J583">
        <v>51</v>
      </c>
      <c r="K583" t="s">
        <v>1595</v>
      </c>
      <c r="L583" t="s">
        <v>1597</v>
      </c>
      <c r="M583" t="str">
        <f>IF(Table1[[#This Row],[Quantity]]&gt;2,"Bulk Order","Normal Order")</f>
        <v>Normal Order</v>
      </c>
      <c r="N583" t="str">
        <f>_xlfn.CONCAT(Table1[[#This Row],[Category]],"-",Table1[[#This Row],[City]])</f>
        <v>Lifestyle-Hyderabad</v>
      </c>
      <c r="O583" t="str">
        <f>LEFT(Table1[[#This Row],[Category]],3)</f>
        <v>Lif</v>
      </c>
      <c r="P583" s="2"/>
    </row>
    <row r="584" spans="1:16" x14ac:dyDescent="0.35">
      <c r="A584" t="s">
        <v>594</v>
      </c>
      <c r="B584" t="s">
        <v>1215</v>
      </c>
      <c r="C584" t="s">
        <v>1227</v>
      </c>
      <c r="D584">
        <v>1378</v>
      </c>
      <c r="E584">
        <v>1</v>
      </c>
      <c r="F584" t="s">
        <v>1521</v>
      </c>
      <c r="G584" t="s">
        <v>1584</v>
      </c>
      <c r="H584" t="s">
        <v>1591</v>
      </c>
      <c r="I584">
        <v>1378</v>
      </c>
      <c r="J584">
        <v>75</v>
      </c>
      <c r="K584" t="s">
        <v>1594</v>
      </c>
      <c r="L584" t="s">
        <v>1598</v>
      </c>
      <c r="M584" t="str">
        <f>IF(Table1[[#This Row],[Quantity]]&gt;2,"Bulk Order","Normal Order")</f>
        <v>Normal Order</v>
      </c>
      <c r="N584" t="str">
        <f>_xlfn.CONCAT(Table1[[#This Row],[Category]],"-",Table1[[#This Row],[City]])</f>
        <v>Accessories-Chennai</v>
      </c>
      <c r="O584" t="str">
        <f>LEFT(Table1[[#This Row],[Category]],3)</f>
        <v>Acc</v>
      </c>
      <c r="P584" s="2"/>
    </row>
    <row r="585" spans="1:16" x14ac:dyDescent="0.35">
      <c r="A585" t="s">
        <v>595</v>
      </c>
      <c r="B585" t="s">
        <v>1222</v>
      </c>
      <c r="C585" t="s">
        <v>1226</v>
      </c>
      <c r="D585">
        <v>3863</v>
      </c>
      <c r="E585">
        <v>4</v>
      </c>
      <c r="F585" t="s">
        <v>1522</v>
      </c>
      <c r="G585" t="s">
        <v>1589</v>
      </c>
      <c r="H585" t="s">
        <v>1591</v>
      </c>
      <c r="I585">
        <v>15452</v>
      </c>
      <c r="J585">
        <v>31</v>
      </c>
      <c r="K585" t="s">
        <v>1595</v>
      </c>
      <c r="L585" t="s">
        <v>1599</v>
      </c>
      <c r="M585" t="str">
        <f>IF(Table1[[#This Row],[Quantity]]&gt;2,"Bulk Order","Normal Order")</f>
        <v>Bulk Order</v>
      </c>
      <c r="N585" t="str">
        <f>_xlfn.CONCAT(Table1[[#This Row],[Category]],"-",Table1[[#This Row],[City]])</f>
        <v>Home-Bangalore</v>
      </c>
      <c r="O585" t="str">
        <f>LEFT(Table1[[#This Row],[Category]],3)</f>
        <v>Hom</v>
      </c>
      <c r="P585" s="2"/>
    </row>
    <row r="586" spans="1:16" x14ac:dyDescent="0.35">
      <c r="A586" t="s">
        <v>596</v>
      </c>
      <c r="B586" t="s">
        <v>1213</v>
      </c>
      <c r="C586" t="s">
        <v>1228</v>
      </c>
      <c r="D586">
        <v>3618</v>
      </c>
      <c r="E586">
        <v>4</v>
      </c>
      <c r="F586" t="s">
        <v>1523</v>
      </c>
      <c r="G586" t="s">
        <v>1587</v>
      </c>
      <c r="H586" t="s">
        <v>1593</v>
      </c>
      <c r="I586">
        <v>14472</v>
      </c>
      <c r="J586">
        <v>88</v>
      </c>
      <c r="K586" t="s">
        <v>1595</v>
      </c>
      <c r="L586" t="s">
        <v>1598</v>
      </c>
      <c r="M586" t="str">
        <f>IF(Table1[[#This Row],[Quantity]]&gt;2,"Bulk Order","Normal Order")</f>
        <v>Bulk Order</v>
      </c>
      <c r="N586" t="str">
        <f>_xlfn.CONCAT(Table1[[#This Row],[Category]],"-",Table1[[#This Row],[City]])</f>
        <v>Electronics-Mumbai</v>
      </c>
      <c r="O586" t="str">
        <f>LEFT(Table1[[#This Row],[Category]],3)</f>
        <v>Ele</v>
      </c>
      <c r="P586" s="2"/>
    </row>
    <row r="587" spans="1:16" x14ac:dyDescent="0.35">
      <c r="A587" t="s">
        <v>597</v>
      </c>
      <c r="B587" t="s">
        <v>1219</v>
      </c>
      <c r="C587" t="s">
        <v>1224</v>
      </c>
      <c r="D587">
        <v>3104</v>
      </c>
      <c r="E587">
        <v>1</v>
      </c>
      <c r="F587" t="s">
        <v>1358</v>
      </c>
      <c r="G587" t="s">
        <v>1584</v>
      </c>
      <c r="H587" t="s">
        <v>1592</v>
      </c>
      <c r="I587">
        <v>3104</v>
      </c>
      <c r="J587">
        <v>54</v>
      </c>
      <c r="K587" t="s">
        <v>1595</v>
      </c>
      <c r="L587" t="s">
        <v>1597</v>
      </c>
      <c r="M587" t="str">
        <f>IF(Table1[[#This Row],[Quantity]]&gt;2,"Bulk Order","Normal Order")</f>
        <v>Normal Order</v>
      </c>
      <c r="N587" t="str">
        <f>_xlfn.CONCAT(Table1[[#This Row],[Category]],"-",Table1[[#This Row],[City]])</f>
        <v>Lifestyle-Chennai</v>
      </c>
      <c r="O587" t="str">
        <f>LEFT(Table1[[#This Row],[Category]],3)</f>
        <v>Lif</v>
      </c>
      <c r="P587" s="2"/>
    </row>
    <row r="588" spans="1:16" x14ac:dyDescent="0.35">
      <c r="A588" t="s">
        <v>598</v>
      </c>
      <c r="B588" t="s">
        <v>1214</v>
      </c>
      <c r="C588" t="s">
        <v>1224</v>
      </c>
      <c r="D588">
        <v>4823</v>
      </c>
      <c r="E588">
        <v>1</v>
      </c>
      <c r="F588" t="s">
        <v>1516</v>
      </c>
      <c r="G588" t="s">
        <v>1589</v>
      </c>
      <c r="H588" t="s">
        <v>1592</v>
      </c>
      <c r="I588">
        <v>4823</v>
      </c>
      <c r="J588">
        <v>22</v>
      </c>
      <c r="K588" t="s">
        <v>1595</v>
      </c>
      <c r="L588" t="s">
        <v>1599</v>
      </c>
      <c r="M588" t="str">
        <f>IF(Table1[[#This Row],[Quantity]]&gt;2,"Bulk Order","Normal Order")</f>
        <v>Normal Order</v>
      </c>
      <c r="N588" t="str">
        <f>_xlfn.CONCAT(Table1[[#This Row],[Category]],"-",Table1[[#This Row],[City]])</f>
        <v>Lifestyle-Bangalore</v>
      </c>
      <c r="O588" t="str">
        <f>LEFT(Table1[[#This Row],[Category]],3)</f>
        <v>Lif</v>
      </c>
      <c r="P588" s="2"/>
    </row>
    <row r="589" spans="1:16" x14ac:dyDescent="0.35">
      <c r="A589" t="s">
        <v>599</v>
      </c>
      <c r="B589" t="s">
        <v>1223</v>
      </c>
      <c r="C589" t="s">
        <v>1226</v>
      </c>
      <c r="D589">
        <v>2823</v>
      </c>
      <c r="E589">
        <v>1</v>
      </c>
      <c r="F589" t="s">
        <v>1524</v>
      </c>
      <c r="G589" t="s">
        <v>1584</v>
      </c>
      <c r="H589" t="s">
        <v>1591</v>
      </c>
      <c r="I589">
        <v>2823</v>
      </c>
      <c r="J589">
        <v>55</v>
      </c>
      <c r="K589" t="s">
        <v>1594</v>
      </c>
      <c r="L589" t="s">
        <v>1599</v>
      </c>
      <c r="M589" t="str">
        <f>IF(Table1[[#This Row],[Quantity]]&gt;2,"Bulk Order","Normal Order")</f>
        <v>Normal Order</v>
      </c>
      <c r="N589" t="str">
        <f>_xlfn.CONCAT(Table1[[#This Row],[Category]],"-",Table1[[#This Row],[City]])</f>
        <v>Home-Chennai</v>
      </c>
      <c r="O589" t="str">
        <f>LEFT(Table1[[#This Row],[Category]],3)</f>
        <v>Hom</v>
      </c>
      <c r="P589" s="2"/>
    </row>
    <row r="590" spans="1:16" x14ac:dyDescent="0.35">
      <c r="A590" t="s">
        <v>600</v>
      </c>
      <c r="B590" t="s">
        <v>1223</v>
      </c>
      <c r="C590" t="s">
        <v>1226</v>
      </c>
      <c r="D590">
        <v>891</v>
      </c>
      <c r="E590">
        <v>1</v>
      </c>
      <c r="F590" t="s">
        <v>1525</v>
      </c>
      <c r="G590" t="s">
        <v>1584</v>
      </c>
      <c r="H590" t="s">
        <v>1591</v>
      </c>
      <c r="I590">
        <v>891</v>
      </c>
      <c r="J590">
        <v>87</v>
      </c>
      <c r="K590" t="s">
        <v>1594</v>
      </c>
      <c r="L590" t="s">
        <v>1598</v>
      </c>
      <c r="M590" t="str">
        <f>IF(Table1[[#This Row],[Quantity]]&gt;2,"Bulk Order","Normal Order")</f>
        <v>Normal Order</v>
      </c>
      <c r="N590" t="str">
        <f>_xlfn.CONCAT(Table1[[#This Row],[Category]],"-",Table1[[#This Row],[City]])</f>
        <v>Home-Chennai</v>
      </c>
      <c r="O590" t="str">
        <f>LEFT(Table1[[#This Row],[Category]],3)</f>
        <v>Hom</v>
      </c>
      <c r="P590" s="2"/>
    </row>
    <row r="591" spans="1:16" x14ac:dyDescent="0.35">
      <c r="A591" t="s">
        <v>601</v>
      </c>
      <c r="B591" t="s">
        <v>1213</v>
      </c>
      <c r="C591" t="s">
        <v>1226</v>
      </c>
      <c r="D591">
        <v>4540</v>
      </c>
      <c r="E591">
        <v>1</v>
      </c>
      <c r="F591" t="s">
        <v>1446</v>
      </c>
      <c r="G591" t="s">
        <v>1588</v>
      </c>
      <c r="H591" t="s">
        <v>1590</v>
      </c>
      <c r="I591">
        <v>4540</v>
      </c>
      <c r="J591">
        <v>48</v>
      </c>
      <c r="K591" t="s">
        <v>1596</v>
      </c>
      <c r="L591" t="s">
        <v>1598</v>
      </c>
      <c r="M591" t="str">
        <f>IF(Table1[[#This Row],[Quantity]]&gt;2,"Bulk Order","Normal Order")</f>
        <v>Normal Order</v>
      </c>
      <c r="N591" t="str">
        <f>_xlfn.CONCAT(Table1[[#This Row],[Category]],"-",Table1[[#This Row],[City]])</f>
        <v>Home-Delhi</v>
      </c>
      <c r="O591" t="str">
        <f>LEFT(Table1[[#This Row],[Category]],3)</f>
        <v>Hom</v>
      </c>
      <c r="P591" s="2"/>
    </row>
    <row r="592" spans="1:16" x14ac:dyDescent="0.35">
      <c r="A592" t="s">
        <v>602</v>
      </c>
      <c r="B592" t="s">
        <v>1215</v>
      </c>
      <c r="C592" t="s">
        <v>1227</v>
      </c>
      <c r="D592">
        <v>827</v>
      </c>
      <c r="E592">
        <v>1</v>
      </c>
      <c r="F592" t="s">
        <v>1483</v>
      </c>
      <c r="G592" t="s">
        <v>1585</v>
      </c>
      <c r="H592" t="s">
        <v>1592</v>
      </c>
      <c r="I592">
        <v>827</v>
      </c>
      <c r="J592">
        <v>24</v>
      </c>
      <c r="K592" t="s">
        <v>1596</v>
      </c>
      <c r="L592" t="s">
        <v>1599</v>
      </c>
      <c r="M592" t="str">
        <f>IF(Table1[[#This Row],[Quantity]]&gt;2,"Bulk Order","Normal Order")</f>
        <v>Normal Order</v>
      </c>
      <c r="N592" t="str">
        <f>_xlfn.CONCAT(Table1[[#This Row],[Category]],"-",Table1[[#This Row],[City]])</f>
        <v>Accessories-Kolkata</v>
      </c>
      <c r="O592" t="str">
        <f>LEFT(Table1[[#This Row],[Category]],3)</f>
        <v>Acc</v>
      </c>
      <c r="P592" s="2"/>
    </row>
    <row r="593" spans="1:16" x14ac:dyDescent="0.35">
      <c r="A593" t="s">
        <v>603</v>
      </c>
      <c r="B593" t="s">
        <v>1223</v>
      </c>
      <c r="C593" t="s">
        <v>1228</v>
      </c>
      <c r="D593">
        <v>3250</v>
      </c>
      <c r="E593">
        <v>2</v>
      </c>
      <c r="F593" t="s">
        <v>1372</v>
      </c>
      <c r="G593" t="s">
        <v>1588</v>
      </c>
      <c r="H593" t="s">
        <v>1590</v>
      </c>
      <c r="I593">
        <v>6500</v>
      </c>
      <c r="J593">
        <v>64</v>
      </c>
      <c r="K593" t="s">
        <v>1595</v>
      </c>
      <c r="L593" t="s">
        <v>1597</v>
      </c>
      <c r="M593" t="str">
        <f>IF(Table1[[#This Row],[Quantity]]&gt;2,"Bulk Order","Normal Order")</f>
        <v>Normal Order</v>
      </c>
      <c r="N593" t="str">
        <f>_xlfn.CONCAT(Table1[[#This Row],[Category]],"-",Table1[[#This Row],[City]])</f>
        <v>Electronics-Delhi</v>
      </c>
      <c r="O593" t="str">
        <f>LEFT(Table1[[#This Row],[Category]],3)</f>
        <v>Ele</v>
      </c>
      <c r="P593" s="2"/>
    </row>
    <row r="594" spans="1:16" x14ac:dyDescent="0.35">
      <c r="A594" t="s">
        <v>604</v>
      </c>
      <c r="B594" t="s">
        <v>1217</v>
      </c>
      <c r="C594" t="s">
        <v>1224</v>
      </c>
      <c r="D594">
        <v>4531</v>
      </c>
      <c r="E594">
        <v>3</v>
      </c>
      <c r="F594" t="s">
        <v>1431</v>
      </c>
      <c r="G594" t="s">
        <v>1589</v>
      </c>
      <c r="H594" t="s">
        <v>1591</v>
      </c>
      <c r="I594">
        <v>13593</v>
      </c>
      <c r="J594">
        <v>61</v>
      </c>
      <c r="K594" t="s">
        <v>1595</v>
      </c>
      <c r="L594" t="s">
        <v>1598</v>
      </c>
      <c r="M594" t="str">
        <f>IF(Table1[[#This Row],[Quantity]]&gt;2,"Bulk Order","Normal Order")</f>
        <v>Bulk Order</v>
      </c>
      <c r="N594" t="str">
        <f>_xlfn.CONCAT(Table1[[#This Row],[Category]],"-",Table1[[#This Row],[City]])</f>
        <v>Lifestyle-Bangalore</v>
      </c>
      <c r="O594" t="str">
        <f>LEFT(Table1[[#This Row],[Category]],3)</f>
        <v>Lif</v>
      </c>
      <c r="P594" s="2"/>
    </row>
    <row r="595" spans="1:16" x14ac:dyDescent="0.35">
      <c r="A595" t="s">
        <v>605</v>
      </c>
      <c r="B595" t="s">
        <v>1220</v>
      </c>
      <c r="C595" t="s">
        <v>1226</v>
      </c>
      <c r="D595">
        <v>4328</v>
      </c>
      <c r="E595">
        <v>3</v>
      </c>
      <c r="F595" t="s">
        <v>1429</v>
      </c>
      <c r="G595" t="s">
        <v>1588</v>
      </c>
      <c r="H595" t="s">
        <v>1592</v>
      </c>
      <c r="I595">
        <v>12984</v>
      </c>
      <c r="J595">
        <v>54</v>
      </c>
      <c r="K595" t="s">
        <v>1595</v>
      </c>
      <c r="L595" t="s">
        <v>1597</v>
      </c>
      <c r="M595" t="str">
        <f>IF(Table1[[#This Row],[Quantity]]&gt;2,"Bulk Order","Normal Order")</f>
        <v>Bulk Order</v>
      </c>
      <c r="N595" t="str">
        <f>_xlfn.CONCAT(Table1[[#This Row],[Category]],"-",Table1[[#This Row],[City]])</f>
        <v>Home-Delhi</v>
      </c>
      <c r="O595" t="str">
        <f>LEFT(Table1[[#This Row],[Category]],3)</f>
        <v>Hom</v>
      </c>
      <c r="P595" s="2"/>
    </row>
    <row r="596" spans="1:16" x14ac:dyDescent="0.35">
      <c r="A596" t="s">
        <v>606</v>
      </c>
      <c r="B596" t="s">
        <v>1218</v>
      </c>
      <c r="C596" t="s">
        <v>1226</v>
      </c>
      <c r="D596">
        <v>263</v>
      </c>
      <c r="E596">
        <v>2</v>
      </c>
      <c r="F596" t="s">
        <v>1526</v>
      </c>
      <c r="G596" t="s">
        <v>1588</v>
      </c>
      <c r="H596" t="s">
        <v>1593</v>
      </c>
      <c r="I596">
        <v>526</v>
      </c>
      <c r="J596">
        <v>99</v>
      </c>
      <c r="K596" t="s">
        <v>1595</v>
      </c>
      <c r="L596" t="s">
        <v>1597</v>
      </c>
      <c r="M596" t="str">
        <f>IF(Table1[[#This Row],[Quantity]]&gt;2,"Bulk Order","Normal Order")</f>
        <v>Normal Order</v>
      </c>
      <c r="N596" t="str">
        <f>_xlfn.CONCAT(Table1[[#This Row],[Category]],"-",Table1[[#This Row],[City]])</f>
        <v>Home-Delhi</v>
      </c>
      <c r="O596" t="str">
        <f>LEFT(Table1[[#This Row],[Category]],3)</f>
        <v>Hom</v>
      </c>
      <c r="P596" s="2"/>
    </row>
    <row r="597" spans="1:16" x14ac:dyDescent="0.35">
      <c r="A597" t="s">
        <v>607</v>
      </c>
      <c r="B597" t="s">
        <v>1213</v>
      </c>
      <c r="C597" t="s">
        <v>1225</v>
      </c>
      <c r="D597">
        <v>4895</v>
      </c>
      <c r="E597">
        <v>3</v>
      </c>
      <c r="F597" t="s">
        <v>1477</v>
      </c>
      <c r="G597" t="s">
        <v>1584</v>
      </c>
      <c r="H597" t="s">
        <v>1591</v>
      </c>
      <c r="I597">
        <v>14685</v>
      </c>
      <c r="J597">
        <v>66</v>
      </c>
      <c r="K597" t="s">
        <v>1595</v>
      </c>
      <c r="L597" t="s">
        <v>1599</v>
      </c>
      <c r="M597" t="str">
        <f>IF(Table1[[#This Row],[Quantity]]&gt;2,"Bulk Order","Normal Order")</f>
        <v>Bulk Order</v>
      </c>
      <c r="N597" t="str">
        <f>_xlfn.CONCAT(Table1[[#This Row],[Category]],"-",Table1[[#This Row],[City]])</f>
        <v>Fitness-Chennai</v>
      </c>
      <c r="O597" t="str">
        <f>LEFT(Table1[[#This Row],[Category]],3)</f>
        <v>Fit</v>
      </c>
      <c r="P597" s="2"/>
    </row>
    <row r="598" spans="1:16" x14ac:dyDescent="0.35">
      <c r="A598" t="s">
        <v>608</v>
      </c>
      <c r="B598" t="s">
        <v>1215</v>
      </c>
      <c r="C598" t="s">
        <v>1226</v>
      </c>
      <c r="D598">
        <v>4452</v>
      </c>
      <c r="E598">
        <v>2</v>
      </c>
      <c r="F598" t="s">
        <v>1432</v>
      </c>
      <c r="G598" t="s">
        <v>1586</v>
      </c>
      <c r="H598" t="s">
        <v>1590</v>
      </c>
      <c r="I598">
        <v>8904</v>
      </c>
      <c r="J598">
        <v>96</v>
      </c>
      <c r="K598" t="s">
        <v>1595</v>
      </c>
      <c r="L598" t="s">
        <v>1599</v>
      </c>
      <c r="M598" t="str">
        <f>IF(Table1[[#This Row],[Quantity]]&gt;2,"Bulk Order","Normal Order")</f>
        <v>Normal Order</v>
      </c>
      <c r="N598" t="str">
        <f>_xlfn.CONCAT(Table1[[#This Row],[Category]],"-",Table1[[#This Row],[City]])</f>
        <v>Home-Hyderabad</v>
      </c>
      <c r="O598" t="str">
        <f>LEFT(Table1[[#This Row],[Category]],3)</f>
        <v>Hom</v>
      </c>
      <c r="P598" s="2"/>
    </row>
    <row r="599" spans="1:16" x14ac:dyDescent="0.35">
      <c r="A599" t="s">
        <v>609</v>
      </c>
      <c r="B599" t="s">
        <v>1213</v>
      </c>
      <c r="C599" t="s">
        <v>1226</v>
      </c>
      <c r="D599">
        <v>1084</v>
      </c>
      <c r="E599">
        <v>2</v>
      </c>
      <c r="F599" t="s">
        <v>1519</v>
      </c>
      <c r="G599" t="s">
        <v>1585</v>
      </c>
      <c r="H599" t="s">
        <v>1592</v>
      </c>
      <c r="I599">
        <v>2168</v>
      </c>
      <c r="J599">
        <v>82</v>
      </c>
      <c r="K599" t="s">
        <v>1595</v>
      </c>
      <c r="L599" t="s">
        <v>1598</v>
      </c>
      <c r="M599" t="str">
        <f>IF(Table1[[#This Row],[Quantity]]&gt;2,"Bulk Order","Normal Order")</f>
        <v>Normal Order</v>
      </c>
      <c r="N599" t="str">
        <f>_xlfn.CONCAT(Table1[[#This Row],[Category]],"-",Table1[[#This Row],[City]])</f>
        <v>Home-Kolkata</v>
      </c>
      <c r="O599" t="str">
        <f>LEFT(Table1[[#This Row],[Category]],3)</f>
        <v>Hom</v>
      </c>
      <c r="P599" s="2"/>
    </row>
    <row r="600" spans="1:16" x14ac:dyDescent="0.35">
      <c r="A600" t="s">
        <v>610</v>
      </c>
      <c r="B600" t="s">
        <v>1217</v>
      </c>
      <c r="C600" t="s">
        <v>1224</v>
      </c>
      <c r="D600">
        <v>1222</v>
      </c>
      <c r="E600">
        <v>3</v>
      </c>
      <c r="F600" t="s">
        <v>1259</v>
      </c>
      <c r="G600" t="s">
        <v>1589</v>
      </c>
      <c r="H600" t="s">
        <v>1593</v>
      </c>
      <c r="I600">
        <v>3666</v>
      </c>
      <c r="J600">
        <v>65</v>
      </c>
      <c r="K600" t="s">
        <v>1595</v>
      </c>
      <c r="L600" t="s">
        <v>1599</v>
      </c>
      <c r="M600" t="str">
        <f>IF(Table1[[#This Row],[Quantity]]&gt;2,"Bulk Order","Normal Order")</f>
        <v>Bulk Order</v>
      </c>
      <c r="N600" t="str">
        <f>_xlfn.CONCAT(Table1[[#This Row],[Category]],"-",Table1[[#This Row],[City]])</f>
        <v>Lifestyle-Bangalore</v>
      </c>
      <c r="O600" t="str">
        <f>LEFT(Table1[[#This Row],[Category]],3)</f>
        <v>Lif</v>
      </c>
      <c r="P600" s="2"/>
    </row>
    <row r="601" spans="1:16" x14ac:dyDescent="0.35">
      <c r="A601" t="s">
        <v>611</v>
      </c>
      <c r="B601" t="s">
        <v>1218</v>
      </c>
      <c r="C601" t="s">
        <v>1227</v>
      </c>
      <c r="D601">
        <v>1174</v>
      </c>
      <c r="E601">
        <v>4</v>
      </c>
      <c r="F601" t="s">
        <v>1266</v>
      </c>
      <c r="G601" t="s">
        <v>1588</v>
      </c>
      <c r="H601" t="s">
        <v>1592</v>
      </c>
      <c r="I601">
        <v>4696</v>
      </c>
      <c r="J601">
        <v>81</v>
      </c>
      <c r="K601" t="s">
        <v>1595</v>
      </c>
      <c r="L601" t="s">
        <v>1599</v>
      </c>
      <c r="M601" t="str">
        <f>IF(Table1[[#This Row],[Quantity]]&gt;2,"Bulk Order","Normal Order")</f>
        <v>Bulk Order</v>
      </c>
      <c r="N601" t="str">
        <f>_xlfn.CONCAT(Table1[[#This Row],[Category]],"-",Table1[[#This Row],[City]])</f>
        <v>Accessories-Delhi</v>
      </c>
      <c r="O601" t="str">
        <f>LEFT(Table1[[#This Row],[Category]],3)</f>
        <v>Acc</v>
      </c>
      <c r="P601" s="2"/>
    </row>
    <row r="602" spans="1:16" x14ac:dyDescent="0.35">
      <c r="A602" t="s">
        <v>612</v>
      </c>
      <c r="B602" t="s">
        <v>1216</v>
      </c>
      <c r="C602" t="s">
        <v>1228</v>
      </c>
      <c r="D602">
        <v>2153</v>
      </c>
      <c r="E602">
        <v>3</v>
      </c>
      <c r="F602" t="s">
        <v>1244</v>
      </c>
      <c r="G602" t="s">
        <v>1589</v>
      </c>
      <c r="H602" t="s">
        <v>1593</v>
      </c>
      <c r="I602">
        <v>6459</v>
      </c>
      <c r="J602">
        <v>82</v>
      </c>
      <c r="K602" t="s">
        <v>1595</v>
      </c>
      <c r="L602" t="s">
        <v>1597</v>
      </c>
      <c r="M602" t="str">
        <f>IF(Table1[[#This Row],[Quantity]]&gt;2,"Bulk Order","Normal Order")</f>
        <v>Bulk Order</v>
      </c>
      <c r="N602" t="str">
        <f>_xlfn.CONCAT(Table1[[#This Row],[Category]],"-",Table1[[#This Row],[City]])</f>
        <v>Electronics-Bangalore</v>
      </c>
      <c r="O602" t="str">
        <f>LEFT(Table1[[#This Row],[Category]],3)</f>
        <v>Ele</v>
      </c>
      <c r="P602" s="2"/>
    </row>
    <row r="603" spans="1:16" x14ac:dyDescent="0.35">
      <c r="A603" t="s">
        <v>613</v>
      </c>
      <c r="B603" t="s">
        <v>1221</v>
      </c>
      <c r="C603" t="s">
        <v>1227</v>
      </c>
      <c r="D603">
        <v>3264</v>
      </c>
      <c r="E603">
        <v>4</v>
      </c>
      <c r="F603" t="s">
        <v>1526</v>
      </c>
      <c r="G603" t="s">
        <v>1586</v>
      </c>
      <c r="H603" t="s">
        <v>1590</v>
      </c>
      <c r="I603">
        <v>13056</v>
      </c>
      <c r="J603">
        <v>77</v>
      </c>
      <c r="K603" t="s">
        <v>1595</v>
      </c>
      <c r="L603" t="s">
        <v>1597</v>
      </c>
      <c r="M603" t="str">
        <f>IF(Table1[[#This Row],[Quantity]]&gt;2,"Bulk Order","Normal Order")</f>
        <v>Bulk Order</v>
      </c>
      <c r="N603" t="str">
        <f>_xlfn.CONCAT(Table1[[#This Row],[Category]],"-",Table1[[#This Row],[City]])</f>
        <v>Accessories-Hyderabad</v>
      </c>
      <c r="O603" t="str">
        <f>LEFT(Table1[[#This Row],[Category]],3)</f>
        <v>Acc</v>
      </c>
      <c r="P603" s="2"/>
    </row>
    <row r="604" spans="1:16" x14ac:dyDescent="0.35">
      <c r="A604" t="s">
        <v>614</v>
      </c>
      <c r="B604" t="s">
        <v>1215</v>
      </c>
      <c r="C604" t="s">
        <v>1224</v>
      </c>
      <c r="D604">
        <v>4662</v>
      </c>
      <c r="E604">
        <v>2</v>
      </c>
      <c r="F604" t="s">
        <v>1294</v>
      </c>
      <c r="G604" t="s">
        <v>1589</v>
      </c>
      <c r="H604" t="s">
        <v>1590</v>
      </c>
      <c r="I604">
        <v>9324</v>
      </c>
      <c r="J604">
        <v>59</v>
      </c>
      <c r="K604" t="s">
        <v>1595</v>
      </c>
      <c r="L604" t="s">
        <v>1599</v>
      </c>
      <c r="M604" t="str">
        <f>IF(Table1[[#This Row],[Quantity]]&gt;2,"Bulk Order","Normal Order")</f>
        <v>Normal Order</v>
      </c>
      <c r="N604" t="str">
        <f>_xlfn.CONCAT(Table1[[#This Row],[Category]],"-",Table1[[#This Row],[City]])</f>
        <v>Lifestyle-Bangalore</v>
      </c>
      <c r="O604" t="str">
        <f>LEFT(Table1[[#This Row],[Category]],3)</f>
        <v>Lif</v>
      </c>
      <c r="P604" s="2"/>
    </row>
    <row r="605" spans="1:16" x14ac:dyDescent="0.35">
      <c r="A605" t="s">
        <v>615</v>
      </c>
      <c r="B605" t="s">
        <v>1212</v>
      </c>
      <c r="C605" t="s">
        <v>1225</v>
      </c>
      <c r="D605">
        <v>2591</v>
      </c>
      <c r="E605">
        <v>1</v>
      </c>
      <c r="F605" t="s">
        <v>1527</v>
      </c>
      <c r="G605" t="s">
        <v>1584</v>
      </c>
      <c r="H605" t="s">
        <v>1593</v>
      </c>
      <c r="I605">
        <v>2591</v>
      </c>
      <c r="J605">
        <v>55</v>
      </c>
      <c r="K605" t="s">
        <v>1594</v>
      </c>
      <c r="L605" t="s">
        <v>1598</v>
      </c>
      <c r="M605" t="str">
        <f>IF(Table1[[#This Row],[Quantity]]&gt;2,"Bulk Order","Normal Order")</f>
        <v>Normal Order</v>
      </c>
      <c r="N605" t="str">
        <f>_xlfn.CONCAT(Table1[[#This Row],[Category]],"-",Table1[[#This Row],[City]])</f>
        <v>Fitness-Chennai</v>
      </c>
      <c r="O605" t="str">
        <f>LEFT(Table1[[#This Row],[Category]],3)</f>
        <v>Fit</v>
      </c>
      <c r="P605" s="2"/>
    </row>
    <row r="606" spans="1:16" x14ac:dyDescent="0.35">
      <c r="A606" t="s">
        <v>616</v>
      </c>
      <c r="B606" t="s">
        <v>1212</v>
      </c>
      <c r="C606" t="s">
        <v>1227</v>
      </c>
      <c r="D606">
        <v>4538</v>
      </c>
      <c r="E606">
        <v>2</v>
      </c>
      <c r="F606" t="s">
        <v>1432</v>
      </c>
      <c r="G606" t="s">
        <v>1588</v>
      </c>
      <c r="H606" t="s">
        <v>1592</v>
      </c>
      <c r="I606">
        <v>9076</v>
      </c>
      <c r="J606">
        <v>74</v>
      </c>
      <c r="K606" t="s">
        <v>1595</v>
      </c>
      <c r="L606" t="s">
        <v>1597</v>
      </c>
      <c r="M606" t="str">
        <f>IF(Table1[[#This Row],[Quantity]]&gt;2,"Bulk Order","Normal Order")</f>
        <v>Normal Order</v>
      </c>
      <c r="N606" t="str">
        <f>_xlfn.CONCAT(Table1[[#This Row],[Category]],"-",Table1[[#This Row],[City]])</f>
        <v>Accessories-Delhi</v>
      </c>
      <c r="O606" t="str">
        <f>LEFT(Table1[[#This Row],[Category]],3)</f>
        <v>Acc</v>
      </c>
      <c r="P606" s="2"/>
    </row>
    <row r="607" spans="1:16" x14ac:dyDescent="0.35">
      <c r="A607" t="s">
        <v>617</v>
      </c>
      <c r="B607" t="s">
        <v>1222</v>
      </c>
      <c r="C607" t="s">
        <v>1227</v>
      </c>
      <c r="D607">
        <v>3121</v>
      </c>
      <c r="E607">
        <v>3</v>
      </c>
      <c r="F607" t="s">
        <v>1528</v>
      </c>
      <c r="G607" t="s">
        <v>1589</v>
      </c>
      <c r="H607" t="s">
        <v>1590</v>
      </c>
      <c r="I607">
        <v>9363</v>
      </c>
      <c r="J607">
        <v>20</v>
      </c>
      <c r="K607" t="s">
        <v>1595</v>
      </c>
      <c r="L607" t="s">
        <v>1599</v>
      </c>
      <c r="M607" t="str">
        <f>IF(Table1[[#This Row],[Quantity]]&gt;2,"Bulk Order","Normal Order")</f>
        <v>Bulk Order</v>
      </c>
      <c r="N607" t="str">
        <f>_xlfn.CONCAT(Table1[[#This Row],[Category]],"-",Table1[[#This Row],[City]])</f>
        <v>Accessories-Bangalore</v>
      </c>
      <c r="O607" t="str">
        <f>LEFT(Table1[[#This Row],[Category]],3)</f>
        <v>Acc</v>
      </c>
      <c r="P607" s="2"/>
    </row>
    <row r="608" spans="1:16" x14ac:dyDescent="0.35">
      <c r="A608" t="s">
        <v>618</v>
      </c>
      <c r="B608" t="s">
        <v>1214</v>
      </c>
      <c r="C608" t="s">
        <v>1228</v>
      </c>
      <c r="D608">
        <v>2462</v>
      </c>
      <c r="E608">
        <v>3</v>
      </c>
      <c r="F608" t="s">
        <v>1371</v>
      </c>
      <c r="G608" t="s">
        <v>1589</v>
      </c>
      <c r="H608" t="s">
        <v>1590</v>
      </c>
      <c r="I608">
        <v>7386</v>
      </c>
      <c r="J608">
        <v>46</v>
      </c>
      <c r="K608" t="s">
        <v>1594</v>
      </c>
      <c r="L608" t="s">
        <v>1599</v>
      </c>
      <c r="M608" t="str">
        <f>IF(Table1[[#This Row],[Quantity]]&gt;2,"Bulk Order","Normal Order")</f>
        <v>Bulk Order</v>
      </c>
      <c r="N608" t="str">
        <f>_xlfn.CONCAT(Table1[[#This Row],[Category]],"-",Table1[[#This Row],[City]])</f>
        <v>Electronics-Bangalore</v>
      </c>
      <c r="O608" t="str">
        <f>LEFT(Table1[[#This Row],[Category]],3)</f>
        <v>Ele</v>
      </c>
      <c r="P608" s="2"/>
    </row>
    <row r="609" spans="1:16" x14ac:dyDescent="0.35">
      <c r="A609" t="s">
        <v>619</v>
      </c>
      <c r="B609" t="s">
        <v>1218</v>
      </c>
      <c r="C609" t="s">
        <v>1228</v>
      </c>
      <c r="D609">
        <v>1729</v>
      </c>
      <c r="E609">
        <v>4</v>
      </c>
      <c r="F609" t="s">
        <v>1370</v>
      </c>
      <c r="G609" t="s">
        <v>1587</v>
      </c>
      <c r="H609" t="s">
        <v>1593</v>
      </c>
      <c r="I609">
        <v>6916</v>
      </c>
      <c r="J609">
        <v>56</v>
      </c>
      <c r="K609" t="s">
        <v>1595</v>
      </c>
      <c r="L609" t="s">
        <v>1597</v>
      </c>
      <c r="M609" t="str">
        <f>IF(Table1[[#This Row],[Quantity]]&gt;2,"Bulk Order","Normal Order")</f>
        <v>Bulk Order</v>
      </c>
      <c r="N609" t="str">
        <f>_xlfn.CONCAT(Table1[[#This Row],[Category]],"-",Table1[[#This Row],[City]])</f>
        <v>Electronics-Mumbai</v>
      </c>
      <c r="O609" t="str">
        <f>LEFT(Table1[[#This Row],[Category]],3)</f>
        <v>Ele</v>
      </c>
      <c r="P609" s="2"/>
    </row>
    <row r="610" spans="1:16" x14ac:dyDescent="0.35">
      <c r="A610" t="s">
        <v>620</v>
      </c>
      <c r="B610" t="s">
        <v>1219</v>
      </c>
      <c r="C610" t="s">
        <v>1226</v>
      </c>
      <c r="D610">
        <v>3857</v>
      </c>
      <c r="E610">
        <v>4</v>
      </c>
      <c r="F610" t="s">
        <v>1447</v>
      </c>
      <c r="G610" t="s">
        <v>1585</v>
      </c>
      <c r="H610" t="s">
        <v>1593</v>
      </c>
      <c r="I610">
        <v>15428</v>
      </c>
      <c r="J610">
        <v>87</v>
      </c>
      <c r="K610" t="s">
        <v>1595</v>
      </c>
      <c r="L610" t="s">
        <v>1599</v>
      </c>
      <c r="M610" t="str">
        <f>IF(Table1[[#This Row],[Quantity]]&gt;2,"Bulk Order","Normal Order")</f>
        <v>Bulk Order</v>
      </c>
      <c r="N610" t="str">
        <f>_xlfn.CONCAT(Table1[[#This Row],[Category]],"-",Table1[[#This Row],[City]])</f>
        <v>Home-Kolkata</v>
      </c>
      <c r="O610" t="str">
        <f>LEFT(Table1[[#This Row],[Category]],3)</f>
        <v>Hom</v>
      </c>
      <c r="P610" s="2"/>
    </row>
    <row r="611" spans="1:16" x14ac:dyDescent="0.35">
      <c r="A611" t="s">
        <v>621</v>
      </c>
      <c r="B611" t="s">
        <v>1213</v>
      </c>
      <c r="C611" t="s">
        <v>1225</v>
      </c>
      <c r="D611">
        <v>272</v>
      </c>
      <c r="E611">
        <v>4</v>
      </c>
      <c r="F611" t="s">
        <v>1455</v>
      </c>
      <c r="G611" t="s">
        <v>1588</v>
      </c>
      <c r="H611" t="s">
        <v>1592</v>
      </c>
      <c r="I611">
        <v>1088</v>
      </c>
      <c r="J611">
        <v>67</v>
      </c>
      <c r="K611" t="s">
        <v>1594</v>
      </c>
      <c r="L611" t="s">
        <v>1599</v>
      </c>
      <c r="M611" t="str">
        <f>IF(Table1[[#This Row],[Quantity]]&gt;2,"Bulk Order","Normal Order")</f>
        <v>Bulk Order</v>
      </c>
      <c r="N611" t="str">
        <f>_xlfn.CONCAT(Table1[[#This Row],[Category]],"-",Table1[[#This Row],[City]])</f>
        <v>Fitness-Delhi</v>
      </c>
      <c r="O611" t="str">
        <f>LEFT(Table1[[#This Row],[Category]],3)</f>
        <v>Fit</v>
      </c>
      <c r="P611" s="2"/>
    </row>
    <row r="612" spans="1:16" x14ac:dyDescent="0.35">
      <c r="A612" t="s">
        <v>622</v>
      </c>
      <c r="B612" t="s">
        <v>1218</v>
      </c>
      <c r="C612" t="s">
        <v>1228</v>
      </c>
      <c r="D612">
        <v>3136</v>
      </c>
      <c r="E612">
        <v>4</v>
      </c>
      <c r="F612" t="s">
        <v>1529</v>
      </c>
      <c r="G612" t="s">
        <v>1588</v>
      </c>
      <c r="H612" t="s">
        <v>1593</v>
      </c>
      <c r="I612">
        <v>12544</v>
      </c>
      <c r="J612">
        <v>61</v>
      </c>
      <c r="K612" t="s">
        <v>1595</v>
      </c>
      <c r="L612" t="s">
        <v>1599</v>
      </c>
      <c r="M612" t="str">
        <f>IF(Table1[[#This Row],[Quantity]]&gt;2,"Bulk Order","Normal Order")</f>
        <v>Bulk Order</v>
      </c>
      <c r="N612" t="str">
        <f>_xlfn.CONCAT(Table1[[#This Row],[Category]],"-",Table1[[#This Row],[City]])</f>
        <v>Electronics-Delhi</v>
      </c>
      <c r="O612" t="str">
        <f>LEFT(Table1[[#This Row],[Category]],3)</f>
        <v>Ele</v>
      </c>
      <c r="P612" s="2"/>
    </row>
    <row r="613" spans="1:16" x14ac:dyDescent="0.35">
      <c r="A613" t="s">
        <v>623</v>
      </c>
      <c r="B613" t="s">
        <v>1219</v>
      </c>
      <c r="C613" t="s">
        <v>1224</v>
      </c>
      <c r="D613">
        <v>1043</v>
      </c>
      <c r="E613">
        <v>1</v>
      </c>
      <c r="F613" t="s">
        <v>1530</v>
      </c>
      <c r="G613" t="s">
        <v>1587</v>
      </c>
      <c r="H613" t="s">
        <v>1590</v>
      </c>
      <c r="I613">
        <v>1043</v>
      </c>
      <c r="J613">
        <v>33</v>
      </c>
      <c r="K613" t="s">
        <v>1595</v>
      </c>
      <c r="L613" t="s">
        <v>1599</v>
      </c>
      <c r="M613" t="str">
        <f>IF(Table1[[#This Row],[Quantity]]&gt;2,"Bulk Order","Normal Order")</f>
        <v>Normal Order</v>
      </c>
      <c r="N613" t="str">
        <f>_xlfn.CONCAT(Table1[[#This Row],[Category]],"-",Table1[[#This Row],[City]])</f>
        <v>Lifestyle-Mumbai</v>
      </c>
      <c r="O613" t="str">
        <f>LEFT(Table1[[#This Row],[Category]],3)</f>
        <v>Lif</v>
      </c>
      <c r="P613" s="2"/>
    </row>
    <row r="614" spans="1:16" x14ac:dyDescent="0.35">
      <c r="A614" t="s">
        <v>624</v>
      </c>
      <c r="B614" t="s">
        <v>1219</v>
      </c>
      <c r="C614" t="s">
        <v>1228</v>
      </c>
      <c r="D614">
        <v>4882</v>
      </c>
      <c r="E614">
        <v>3</v>
      </c>
      <c r="F614" t="s">
        <v>1482</v>
      </c>
      <c r="G614" t="s">
        <v>1588</v>
      </c>
      <c r="H614" t="s">
        <v>1591</v>
      </c>
      <c r="I614">
        <v>14646</v>
      </c>
      <c r="J614">
        <v>40</v>
      </c>
      <c r="K614" t="s">
        <v>1595</v>
      </c>
      <c r="L614" t="s">
        <v>1598</v>
      </c>
      <c r="M614" t="str">
        <f>IF(Table1[[#This Row],[Quantity]]&gt;2,"Bulk Order","Normal Order")</f>
        <v>Bulk Order</v>
      </c>
      <c r="N614" t="str">
        <f>_xlfn.CONCAT(Table1[[#This Row],[Category]],"-",Table1[[#This Row],[City]])</f>
        <v>Electronics-Delhi</v>
      </c>
      <c r="O614" t="str">
        <f>LEFT(Table1[[#This Row],[Category]],3)</f>
        <v>Ele</v>
      </c>
      <c r="P614" s="2"/>
    </row>
    <row r="615" spans="1:16" x14ac:dyDescent="0.35">
      <c r="A615" t="s">
        <v>625</v>
      </c>
      <c r="B615" t="s">
        <v>1213</v>
      </c>
      <c r="C615" t="s">
        <v>1225</v>
      </c>
      <c r="D615">
        <v>2538</v>
      </c>
      <c r="E615">
        <v>3</v>
      </c>
      <c r="F615" t="s">
        <v>1531</v>
      </c>
      <c r="G615" t="s">
        <v>1584</v>
      </c>
      <c r="H615" t="s">
        <v>1591</v>
      </c>
      <c r="I615">
        <v>7614</v>
      </c>
      <c r="J615">
        <v>47</v>
      </c>
      <c r="K615" t="s">
        <v>1595</v>
      </c>
      <c r="L615" t="s">
        <v>1599</v>
      </c>
      <c r="M615" t="str">
        <f>IF(Table1[[#This Row],[Quantity]]&gt;2,"Bulk Order","Normal Order")</f>
        <v>Bulk Order</v>
      </c>
      <c r="N615" t="str">
        <f>_xlfn.CONCAT(Table1[[#This Row],[Category]],"-",Table1[[#This Row],[City]])</f>
        <v>Fitness-Chennai</v>
      </c>
      <c r="O615" t="str">
        <f>LEFT(Table1[[#This Row],[Category]],3)</f>
        <v>Fit</v>
      </c>
      <c r="P615" s="2"/>
    </row>
    <row r="616" spans="1:16" x14ac:dyDescent="0.35">
      <c r="A616" t="s">
        <v>626</v>
      </c>
      <c r="B616" t="s">
        <v>1213</v>
      </c>
      <c r="C616" t="s">
        <v>1224</v>
      </c>
      <c r="D616">
        <v>992</v>
      </c>
      <c r="E616">
        <v>2</v>
      </c>
      <c r="F616" t="s">
        <v>1255</v>
      </c>
      <c r="G616" t="s">
        <v>1584</v>
      </c>
      <c r="H616" t="s">
        <v>1593</v>
      </c>
      <c r="I616">
        <v>1984</v>
      </c>
      <c r="J616">
        <v>26</v>
      </c>
      <c r="K616" t="s">
        <v>1595</v>
      </c>
      <c r="L616" t="s">
        <v>1598</v>
      </c>
      <c r="M616" t="str">
        <f>IF(Table1[[#This Row],[Quantity]]&gt;2,"Bulk Order","Normal Order")</f>
        <v>Normal Order</v>
      </c>
      <c r="N616" t="str">
        <f>_xlfn.CONCAT(Table1[[#This Row],[Category]],"-",Table1[[#This Row],[City]])</f>
        <v>Lifestyle-Chennai</v>
      </c>
      <c r="O616" t="str">
        <f>LEFT(Table1[[#This Row],[Category]],3)</f>
        <v>Lif</v>
      </c>
      <c r="P616" s="2"/>
    </row>
    <row r="617" spans="1:16" x14ac:dyDescent="0.35">
      <c r="A617" t="s">
        <v>627</v>
      </c>
      <c r="B617" t="s">
        <v>1215</v>
      </c>
      <c r="C617" t="s">
        <v>1227</v>
      </c>
      <c r="D617">
        <v>200</v>
      </c>
      <c r="E617">
        <v>1</v>
      </c>
      <c r="F617" t="s">
        <v>1474</v>
      </c>
      <c r="G617" t="s">
        <v>1588</v>
      </c>
      <c r="H617" t="s">
        <v>1591</v>
      </c>
      <c r="I617">
        <v>200</v>
      </c>
      <c r="J617">
        <v>70</v>
      </c>
      <c r="K617" t="s">
        <v>1594</v>
      </c>
      <c r="L617" t="s">
        <v>1598</v>
      </c>
      <c r="M617" t="str">
        <f>IF(Table1[[#This Row],[Quantity]]&gt;2,"Bulk Order","Normal Order")</f>
        <v>Normal Order</v>
      </c>
      <c r="N617" t="str">
        <f>_xlfn.CONCAT(Table1[[#This Row],[Category]],"-",Table1[[#This Row],[City]])</f>
        <v>Accessories-Delhi</v>
      </c>
      <c r="O617" t="str">
        <f>LEFT(Table1[[#This Row],[Category]],3)</f>
        <v>Acc</v>
      </c>
      <c r="P617" s="2"/>
    </row>
    <row r="618" spans="1:16" x14ac:dyDescent="0.35">
      <c r="A618" t="s">
        <v>628</v>
      </c>
      <c r="B618" t="s">
        <v>1217</v>
      </c>
      <c r="C618" t="s">
        <v>1227</v>
      </c>
      <c r="D618">
        <v>646</v>
      </c>
      <c r="E618">
        <v>4</v>
      </c>
      <c r="F618" t="s">
        <v>1359</v>
      </c>
      <c r="G618" t="s">
        <v>1584</v>
      </c>
      <c r="H618" t="s">
        <v>1593</v>
      </c>
      <c r="I618">
        <v>2584</v>
      </c>
      <c r="J618">
        <v>23</v>
      </c>
      <c r="K618" t="s">
        <v>1595</v>
      </c>
      <c r="L618" t="s">
        <v>1599</v>
      </c>
      <c r="M618" t="str">
        <f>IF(Table1[[#This Row],[Quantity]]&gt;2,"Bulk Order","Normal Order")</f>
        <v>Bulk Order</v>
      </c>
      <c r="N618" t="str">
        <f>_xlfn.CONCAT(Table1[[#This Row],[Category]],"-",Table1[[#This Row],[City]])</f>
        <v>Accessories-Chennai</v>
      </c>
      <c r="O618" t="str">
        <f>LEFT(Table1[[#This Row],[Category]],3)</f>
        <v>Acc</v>
      </c>
      <c r="P618" s="2"/>
    </row>
    <row r="619" spans="1:16" x14ac:dyDescent="0.35">
      <c r="A619" t="s">
        <v>629</v>
      </c>
      <c r="B619" t="s">
        <v>1219</v>
      </c>
      <c r="C619" t="s">
        <v>1226</v>
      </c>
      <c r="D619">
        <v>2523</v>
      </c>
      <c r="E619">
        <v>3</v>
      </c>
      <c r="F619" t="s">
        <v>1532</v>
      </c>
      <c r="G619" t="s">
        <v>1584</v>
      </c>
      <c r="H619" t="s">
        <v>1590</v>
      </c>
      <c r="I619">
        <v>7569</v>
      </c>
      <c r="J619">
        <v>39</v>
      </c>
      <c r="K619" t="s">
        <v>1594</v>
      </c>
      <c r="L619" t="s">
        <v>1598</v>
      </c>
      <c r="M619" t="str">
        <f>IF(Table1[[#This Row],[Quantity]]&gt;2,"Bulk Order","Normal Order")</f>
        <v>Bulk Order</v>
      </c>
      <c r="N619" t="str">
        <f>_xlfn.CONCAT(Table1[[#This Row],[Category]],"-",Table1[[#This Row],[City]])</f>
        <v>Home-Chennai</v>
      </c>
      <c r="O619" t="str">
        <f>LEFT(Table1[[#This Row],[Category]],3)</f>
        <v>Hom</v>
      </c>
      <c r="P619" s="2"/>
    </row>
    <row r="620" spans="1:16" x14ac:dyDescent="0.35">
      <c r="A620" t="s">
        <v>630</v>
      </c>
      <c r="B620" t="s">
        <v>1216</v>
      </c>
      <c r="C620" t="s">
        <v>1225</v>
      </c>
      <c r="D620">
        <v>3496</v>
      </c>
      <c r="E620">
        <v>3</v>
      </c>
      <c r="F620" t="s">
        <v>1442</v>
      </c>
      <c r="G620" t="s">
        <v>1587</v>
      </c>
      <c r="H620" t="s">
        <v>1593</v>
      </c>
      <c r="I620">
        <v>10488</v>
      </c>
      <c r="J620">
        <v>22</v>
      </c>
      <c r="K620" t="s">
        <v>1595</v>
      </c>
      <c r="L620" t="s">
        <v>1599</v>
      </c>
      <c r="M620" t="str">
        <f>IF(Table1[[#This Row],[Quantity]]&gt;2,"Bulk Order","Normal Order")</f>
        <v>Bulk Order</v>
      </c>
      <c r="N620" t="str">
        <f>_xlfn.CONCAT(Table1[[#This Row],[Category]],"-",Table1[[#This Row],[City]])</f>
        <v>Fitness-Mumbai</v>
      </c>
      <c r="O620" t="str">
        <f>LEFT(Table1[[#This Row],[Category]],3)</f>
        <v>Fit</v>
      </c>
      <c r="P620" s="2"/>
    </row>
    <row r="621" spans="1:16" x14ac:dyDescent="0.35">
      <c r="A621" t="s">
        <v>631</v>
      </c>
      <c r="B621" t="s">
        <v>1219</v>
      </c>
      <c r="C621" t="s">
        <v>1226</v>
      </c>
      <c r="D621">
        <v>4932</v>
      </c>
      <c r="E621">
        <v>3</v>
      </c>
      <c r="F621" t="s">
        <v>1427</v>
      </c>
      <c r="G621" t="s">
        <v>1588</v>
      </c>
      <c r="H621" t="s">
        <v>1593</v>
      </c>
      <c r="I621">
        <v>14796</v>
      </c>
      <c r="J621">
        <v>52</v>
      </c>
      <c r="K621" t="s">
        <v>1595</v>
      </c>
      <c r="L621" t="s">
        <v>1598</v>
      </c>
      <c r="M621" t="str">
        <f>IF(Table1[[#This Row],[Quantity]]&gt;2,"Bulk Order","Normal Order")</f>
        <v>Bulk Order</v>
      </c>
      <c r="N621" t="str">
        <f>_xlfn.CONCAT(Table1[[#This Row],[Category]],"-",Table1[[#This Row],[City]])</f>
        <v>Home-Delhi</v>
      </c>
      <c r="O621" t="str">
        <f>LEFT(Table1[[#This Row],[Category]],3)</f>
        <v>Hom</v>
      </c>
      <c r="P621" s="2"/>
    </row>
    <row r="622" spans="1:16" x14ac:dyDescent="0.35">
      <c r="A622" t="s">
        <v>632</v>
      </c>
      <c r="B622" t="s">
        <v>1214</v>
      </c>
      <c r="C622" t="s">
        <v>1226</v>
      </c>
      <c r="D622">
        <v>4972</v>
      </c>
      <c r="E622">
        <v>2</v>
      </c>
      <c r="F622" t="s">
        <v>1467</v>
      </c>
      <c r="G622" t="s">
        <v>1589</v>
      </c>
      <c r="H622" t="s">
        <v>1593</v>
      </c>
      <c r="I622">
        <v>9944</v>
      </c>
      <c r="J622">
        <v>27</v>
      </c>
      <c r="K622" t="s">
        <v>1595</v>
      </c>
      <c r="L622" t="s">
        <v>1598</v>
      </c>
      <c r="M622" t="str">
        <f>IF(Table1[[#This Row],[Quantity]]&gt;2,"Bulk Order","Normal Order")</f>
        <v>Normal Order</v>
      </c>
      <c r="N622" t="str">
        <f>_xlfn.CONCAT(Table1[[#This Row],[Category]],"-",Table1[[#This Row],[City]])</f>
        <v>Home-Bangalore</v>
      </c>
      <c r="O622" t="str">
        <f>LEFT(Table1[[#This Row],[Category]],3)</f>
        <v>Hom</v>
      </c>
      <c r="P622" s="2"/>
    </row>
    <row r="623" spans="1:16" x14ac:dyDescent="0.35">
      <c r="A623" t="s">
        <v>633</v>
      </c>
      <c r="B623" t="s">
        <v>1218</v>
      </c>
      <c r="C623" t="s">
        <v>1228</v>
      </c>
      <c r="D623">
        <v>1943</v>
      </c>
      <c r="E623">
        <v>3</v>
      </c>
      <c r="F623" t="s">
        <v>1498</v>
      </c>
      <c r="G623" t="s">
        <v>1588</v>
      </c>
      <c r="H623" t="s">
        <v>1590</v>
      </c>
      <c r="I623">
        <v>5829</v>
      </c>
      <c r="J623">
        <v>41</v>
      </c>
      <c r="K623" t="s">
        <v>1595</v>
      </c>
      <c r="L623" t="s">
        <v>1599</v>
      </c>
      <c r="M623" t="str">
        <f>IF(Table1[[#This Row],[Quantity]]&gt;2,"Bulk Order","Normal Order")</f>
        <v>Bulk Order</v>
      </c>
      <c r="N623" t="str">
        <f>_xlfn.CONCAT(Table1[[#This Row],[Category]],"-",Table1[[#This Row],[City]])</f>
        <v>Electronics-Delhi</v>
      </c>
      <c r="O623" t="str">
        <f>LEFT(Table1[[#This Row],[Category]],3)</f>
        <v>Ele</v>
      </c>
      <c r="P623" s="2"/>
    </row>
    <row r="624" spans="1:16" x14ac:dyDescent="0.35">
      <c r="A624" t="s">
        <v>634</v>
      </c>
      <c r="B624" t="s">
        <v>1223</v>
      </c>
      <c r="C624" t="s">
        <v>1226</v>
      </c>
      <c r="D624">
        <v>1226</v>
      </c>
      <c r="E624">
        <v>1</v>
      </c>
      <c r="F624" t="s">
        <v>1514</v>
      </c>
      <c r="G624" t="s">
        <v>1586</v>
      </c>
      <c r="H624" t="s">
        <v>1592</v>
      </c>
      <c r="I624">
        <v>1226</v>
      </c>
      <c r="J624">
        <v>35</v>
      </c>
      <c r="K624" t="s">
        <v>1595</v>
      </c>
      <c r="L624" t="s">
        <v>1598</v>
      </c>
      <c r="M624" t="str">
        <f>IF(Table1[[#This Row],[Quantity]]&gt;2,"Bulk Order","Normal Order")</f>
        <v>Normal Order</v>
      </c>
      <c r="N624" t="str">
        <f>_xlfn.CONCAT(Table1[[#This Row],[Category]],"-",Table1[[#This Row],[City]])</f>
        <v>Home-Hyderabad</v>
      </c>
      <c r="O624" t="str">
        <f>LEFT(Table1[[#This Row],[Category]],3)</f>
        <v>Hom</v>
      </c>
      <c r="P624" s="2"/>
    </row>
    <row r="625" spans="1:16" x14ac:dyDescent="0.35">
      <c r="A625" t="s">
        <v>635</v>
      </c>
      <c r="B625" t="s">
        <v>1217</v>
      </c>
      <c r="C625" t="s">
        <v>1227</v>
      </c>
      <c r="D625">
        <v>2306</v>
      </c>
      <c r="E625">
        <v>3</v>
      </c>
      <c r="F625" t="s">
        <v>1328</v>
      </c>
      <c r="G625" t="s">
        <v>1585</v>
      </c>
      <c r="H625" t="s">
        <v>1593</v>
      </c>
      <c r="I625">
        <v>6918</v>
      </c>
      <c r="J625">
        <v>55</v>
      </c>
      <c r="K625" t="s">
        <v>1595</v>
      </c>
      <c r="L625" t="s">
        <v>1599</v>
      </c>
      <c r="M625" t="str">
        <f>IF(Table1[[#This Row],[Quantity]]&gt;2,"Bulk Order","Normal Order")</f>
        <v>Bulk Order</v>
      </c>
      <c r="N625" t="str">
        <f>_xlfn.CONCAT(Table1[[#This Row],[Category]],"-",Table1[[#This Row],[City]])</f>
        <v>Accessories-Kolkata</v>
      </c>
      <c r="O625" t="str">
        <f>LEFT(Table1[[#This Row],[Category]],3)</f>
        <v>Acc</v>
      </c>
      <c r="P625" s="2"/>
    </row>
    <row r="626" spans="1:16" x14ac:dyDescent="0.35">
      <c r="A626" t="s">
        <v>636</v>
      </c>
      <c r="B626" t="s">
        <v>1215</v>
      </c>
      <c r="C626" t="s">
        <v>1227</v>
      </c>
      <c r="D626">
        <v>1924</v>
      </c>
      <c r="E626">
        <v>1</v>
      </c>
      <c r="F626" t="s">
        <v>1458</v>
      </c>
      <c r="G626" t="s">
        <v>1586</v>
      </c>
      <c r="H626" t="s">
        <v>1593</v>
      </c>
      <c r="I626">
        <v>1924</v>
      </c>
      <c r="J626">
        <v>32</v>
      </c>
      <c r="K626" t="s">
        <v>1595</v>
      </c>
      <c r="L626" t="s">
        <v>1599</v>
      </c>
      <c r="M626" t="str">
        <f>IF(Table1[[#This Row],[Quantity]]&gt;2,"Bulk Order","Normal Order")</f>
        <v>Normal Order</v>
      </c>
      <c r="N626" t="str">
        <f>_xlfn.CONCAT(Table1[[#This Row],[Category]],"-",Table1[[#This Row],[City]])</f>
        <v>Accessories-Hyderabad</v>
      </c>
      <c r="O626" t="str">
        <f>LEFT(Table1[[#This Row],[Category]],3)</f>
        <v>Acc</v>
      </c>
      <c r="P626" s="2"/>
    </row>
    <row r="627" spans="1:16" x14ac:dyDescent="0.35">
      <c r="A627" t="s">
        <v>637</v>
      </c>
      <c r="B627" t="s">
        <v>1221</v>
      </c>
      <c r="C627" t="s">
        <v>1225</v>
      </c>
      <c r="D627">
        <v>2155</v>
      </c>
      <c r="E627">
        <v>4</v>
      </c>
      <c r="F627" t="s">
        <v>1410</v>
      </c>
      <c r="G627" t="s">
        <v>1588</v>
      </c>
      <c r="H627" t="s">
        <v>1592</v>
      </c>
      <c r="I627">
        <v>8620</v>
      </c>
      <c r="J627">
        <v>96</v>
      </c>
      <c r="K627" t="s">
        <v>1595</v>
      </c>
      <c r="L627" t="s">
        <v>1599</v>
      </c>
      <c r="M627" t="str">
        <f>IF(Table1[[#This Row],[Quantity]]&gt;2,"Bulk Order","Normal Order")</f>
        <v>Bulk Order</v>
      </c>
      <c r="N627" t="str">
        <f>_xlfn.CONCAT(Table1[[#This Row],[Category]],"-",Table1[[#This Row],[City]])</f>
        <v>Fitness-Delhi</v>
      </c>
      <c r="O627" t="str">
        <f>LEFT(Table1[[#This Row],[Category]],3)</f>
        <v>Fit</v>
      </c>
      <c r="P627" s="2"/>
    </row>
    <row r="628" spans="1:16" x14ac:dyDescent="0.35">
      <c r="A628" t="s">
        <v>638</v>
      </c>
      <c r="B628" t="s">
        <v>1217</v>
      </c>
      <c r="C628" t="s">
        <v>1225</v>
      </c>
      <c r="D628">
        <v>1597</v>
      </c>
      <c r="E628">
        <v>4</v>
      </c>
      <c r="F628" t="s">
        <v>1525</v>
      </c>
      <c r="G628" t="s">
        <v>1588</v>
      </c>
      <c r="H628" t="s">
        <v>1591</v>
      </c>
      <c r="I628">
        <v>6388</v>
      </c>
      <c r="J628">
        <v>44</v>
      </c>
      <c r="K628" t="s">
        <v>1595</v>
      </c>
      <c r="L628" t="s">
        <v>1597</v>
      </c>
      <c r="M628" t="str">
        <f>IF(Table1[[#This Row],[Quantity]]&gt;2,"Bulk Order","Normal Order")</f>
        <v>Bulk Order</v>
      </c>
      <c r="N628" t="str">
        <f>_xlfn.CONCAT(Table1[[#This Row],[Category]],"-",Table1[[#This Row],[City]])</f>
        <v>Fitness-Delhi</v>
      </c>
      <c r="O628" t="str">
        <f>LEFT(Table1[[#This Row],[Category]],3)</f>
        <v>Fit</v>
      </c>
      <c r="P628" s="2"/>
    </row>
    <row r="629" spans="1:16" x14ac:dyDescent="0.35">
      <c r="A629" t="s">
        <v>639</v>
      </c>
      <c r="B629" t="s">
        <v>1213</v>
      </c>
      <c r="C629" t="s">
        <v>1227</v>
      </c>
      <c r="D629">
        <v>2182</v>
      </c>
      <c r="E629">
        <v>3</v>
      </c>
      <c r="F629" t="s">
        <v>1524</v>
      </c>
      <c r="G629" t="s">
        <v>1587</v>
      </c>
      <c r="H629" t="s">
        <v>1593</v>
      </c>
      <c r="I629">
        <v>6546</v>
      </c>
      <c r="J629">
        <v>47</v>
      </c>
      <c r="K629" t="s">
        <v>1596</v>
      </c>
      <c r="L629" t="s">
        <v>1597</v>
      </c>
      <c r="M629" t="str">
        <f>IF(Table1[[#This Row],[Quantity]]&gt;2,"Bulk Order","Normal Order")</f>
        <v>Bulk Order</v>
      </c>
      <c r="N629" t="str">
        <f>_xlfn.CONCAT(Table1[[#This Row],[Category]],"-",Table1[[#This Row],[City]])</f>
        <v>Accessories-Mumbai</v>
      </c>
      <c r="O629" t="str">
        <f>LEFT(Table1[[#This Row],[Category]],3)</f>
        <v>Acc</v>
      </c>
      <c r="P629" s="2"/>
    </row>
    <row r="630" spans="1:16" x14ac:dyDescent="0.35">
      <c r="A630" t="s">
        <v>640</v>
      </c>
      <c r="B630" t="s">
        <v>1212</v>
      </c>
      <c r="C630" t="s">
        <v>1225</v>
      </c>
      <c r="D630">
        <v>717</v>
      </c>
      <c r="E630">
        <v>2</v>
      </c>
      <c r="F630" t="s">
        <v>1276</v>
      </c>
      <c r="G630" t="s">
        <v>1584</v>
      </c>
      <c r="H630" t="s">
        <v>1590</v>
      </c>
      <c r="I630">
        <v>1434</v>
      </c>
      <c r="J630">
        <v>46</v>
      </c>
      <c r="K630" t="s">
        <v>1595</v>
      </c>
      <c r="L630" t="s">
        <v>1598</v>
      </c>
      <c r="M630" t="str">
        <f>IF(Table1[[#This Row],[Quantity]]&gt;2,"Bulk Order","Normal Order")</f>
        <v>Normal Order</v>
      </c>
      <c r="N630" t="str">
        <f>_xlfn.CONCAT(Table1[[#This Row],[Category]],"-",Table1[[#This Row],[City]])</f>
        <v>Fitness-Chennai</v>
      </c>
      <c r="O630" t="str">
        <f>LEFT(Table1[[#This Row],[Category]],3)</f>
        <v>Fit</v>
      </c>
      <c r="P630" s="2"/>
    </row>
    <row r="631" spans="1:16" x14ac:dyDescent="0.35">
      <c r="A631" t="s">
        <v>641</v>
      </c>
      <c r="B631" t="s">
        <v>1221</v>
      </c>
      <c r="C631" t="s">
        <v>1228</v>
      </c>
      <c r="D631">
        <v>228</v>
      </c>
      <c r="E631">
        <v>1</v>
      </c>
      <c r="F631" t="s">
        <v>1349</v>
      </c>
      <c r="G631" t="s">
        <v>1584</v>
      </c>
      <c r="H631" t="s">
        <v>1591</v>
      </c>
      <c r="I631">
        <v>228</v>
      </c>
      <c r="J631">
        <v>90</v>
      </c>
      <c r="K631" t="s">
        <v>1595</v>
      </c>
      <c r="L631" t="s">
        <v>1599</v>
      </c>
      <c r="M631" t="str">
        <f>IF(Table1[[#This Row],[Quantity]]&gt;2,"Bulk Order","Normal Order")</f>
        <v>Normal Order</v>
      </c>
      <c r="N631" t="str">
        <f>_xlfn.CONCAT(Table1[[#This Row],[Category]],"-",Table1[[#This Row],[City]])</f>
        <v>Electronics-Chennai</v>
      </c>
      <c r="O631" t="str">
        <f>LEFT(Table1[[#This Row],[Category]],3)</f>
        <v>Ele</v>
      </c>
      <c r="P631" s="2"/>
    </row>
    <row r="632" spans="1:16" x14ac:dyDescent="0.35">
      <c r="A632" t="s">
        <v>642</v>
      </c>
      <c r="B632" t="s">
        <v>1219</v>
      </c>
      <c r="C632" t="s">
        <v>1225</v>
      </c>
      <c r="D632">
        <v>271</v>
      </c>
      <c r="E632">
        <v>3</v>
      </c>
      <c r="F632" t="s">
        <v>1246</v>
      </c>
      <c r="G632" t="s">
        <v>1587</v>
      </c>
      <c r="H632" t="s">
        <v>1591</v>
      </c>
      <c r="I632">
        <v>813</v>
      </c>
      <c r="J632">
        <v>91</v>
      </c>
      <c r="K632" t="s">
        <v>1595</v>
      </c>
      <c r="L632" t="s">
        <v>1599</v>
      </c>
      <c r="M632" t="str">
        <f>IF(Table1[[#This Row],[Quantity]]&gt;2,"Bulk Order","Normal Order")</f>
        <v>Bulk Order</v>
      </c>
      <c r="N632" t="str">
        <f>_xlfn.CONCAT(Table1[[#This Row],[Category]],"-",Table1[[#This Row],[City]])</f>
        <v>Fitness-Mumbai</v>
      </c>
      <c r="O632" t="str">
        <f>LEFT(Table1[[#This Row],[Category]],3)</f>
        <v>Fit</v>
      </c>
      <c r="P632" s="2"/>
    </row>
    <row r="633" spans="1:16" x14ac:dyDescent="0.35">
      <c r="A633" t="s">
        <v>643</v>
      </c>
      <c r="B633" t="s">
        <v>1221</v>
      </c>
      <c r="C633" t="s">
        <v>1224</v>
      </c>
      <c r="D633">
        <v>1659</v>
      </c>
      <c r="E633">
        <v>3</v>
      </c>
      <c r="F633" t="s">
        <v>1533</v>
      </c>
      <c r="G633" t="s">
        <v>1588</v>
      </c>
      <c r="H633" t="s">
        <v>1593</v>
      </c>
      <c r="I633">
        <v>4977</v>
      </c>
      <c r="J633">
        <v>63</v>
      </c>
      <c r="K633" t="s">
        <v>1596</v>
      </c>
      <c r="L633" t="s">
        <v>1598</v>
      </c>
      <c r="M633" t="str">
        <f>IF(Table1[[#This Row],[Quantity]]&gt;2,"Bulk Order","Normal Order")</f>
        <v>Bulk Order</v>
      </c>
      <c r="N633" t="str">
        <f>_xlfn.CONCAT(Table1[[#This Row],[Category]],"-",Table1[[#This Row],[City]])</f>
        <v>Lifestyle-Delhi</v>
      </c>
      <c r="O633" t="str">
        <f>LEFT(Table1[[#This Row],[Category]],3)</f>
        <v>Lif</v>
      </c>
      <c r="P633" s="2"/>
    </row>
    <row r="634" spans="1:16" x14ac:dyDescent="0.35">
      <c r="A634" t="s">
        <v>644</v>
      </c>
      <c r="B634" t="s">
        <v>1218</v>
      </c>
      <c r="C634" t="s">
        <v>1227</v>
      </c>
      <c r="D634">
        <v>2458</v>
      </c>
      <c r="E634">
        <v>1</v>
      </c>
      <c r="F634" t="s">
        <v>1455</v>
      </c>
      <c r="G634" t="s">
        <v>1588</v>
      </c>
      <c r="H634" t="s">
        <v>1590</v>
      </c>
      <c r="I634">
        <v>2458</v>
      </c>
      <c r="J634">
        <v>96</v>
      </c>
      <c r="K634" t="s">
        <v>1594</v>
      </c>
      <c r="L634" t="s">
        <v>1599</v>
      </c>
      <c r="M634" t="str">
        <f>IF(Table1[[#This Row],[Quantity]]&gt;2,"Bulk Order","Normal Order")</f>
        <v>Normal Order</v>
      </c>
      <c r="N634" t="str">
        <f>_xlfn.CONCAT(Table1[[#This Row],[Category]],"-",Table1[[#This Row],[City]])</f>
        <v>Accessories-Delhi</v>
      </c>
      <c r="O634" t="str">
        <f>LEFT(Table1[[#This Row],[Category]],3)</f>
        <v>Acc</v>
      </c>
      <c r="P634" s="2"/>
    </row>
    <row r="635" spans="1:16" x14ac:dyDescent="0.35">
      <c r="A635" t="s">
        <v>645</v>
      </c>
      <c r="B635" t="s">
        <v>1213</v>
      </c>
      <c r="C635" t="s">
        <v>1224</v>
      </c>
      <c r="D635">
        <v>4453</v>
      </c>
      <c r="E635">
        <v>2</v>
      </c>
      <c r="F635" t="s">
        <v>1336</v>
      </c>
      <c r="G635" t="s">
        <v>1586</v>
      </c>
      <c r="H635" t="s">
        <v>1592</v>
      </c>
      <c r="I635">
        <v>8906</v>
      </c>
      <c r="J635">
        <v>44</v>
      </c>
      <c r="K635" t="s">
        <v>1595</v>
      </c>
      <c r="L635" t="s">
        <v>1598</v>
      </c>
      <c r="M635" t="str">
        <f>IF(Table1[[#This Row],[Quantity]]&gt;2,"Bulk Order","Normal Order")</f>
        <v>Normal Order</v>
      </c>
      <c r="N635" t="str">
        <f>_xlfn.CONCAT(Table1[[#This Row],[Category]],"-",Table1[[#This Row],[City]])</f>
        <v>Lifestyle-Hyderabad</v>
      </c>
      <c r="O635" t="str">
        <f>LEFT(Table1[[#This Row],[Category]],3)</f>
        <v>Lif</v>
      </c>
      <c r="P635" s="2"/>
    </row>
    <row r="636" spans="1:16" x14ac:dyDescent="0.35">
      <c r="A636" t="s">
        <v>646</v>
      </c>
      <c r="B636" t="s">
        <v>1219</v>
      </c>
      <c r="C636" t="s">
        <v>1225</v>
      </c>
      <c r="D636">
        <v>4328</v>
      </c>
      <c r="E636">
        <v>2</v>
      </c>
      <c r="F636" t="s">
        <v>1534</v>
      </c>
      <c r="G636" t="s">
        <v>1585</v>
      </c>
      <c r="H636" t="s">
        <v>1592</v>
      </c>
      <c r="I636">
        <v>8656</v>
      </c>
      <c r="J636">
        <v>25</v>
      </c>
      <c r="K636" t="s">
        <v>1594</v>
      </c>
      <c r="L636" t="s">
        <v>1599</v>
      </c>
      <c r="M636" t="str">
        <f>IF(Table1[[#This Row],[Quantity]]&gt;2,"Bulk Order","Normal Order")</f>
        <v>Normal Order</v>
      </c>
      <c r="N636" t="str">
        <f>_xlfn.CONCAT(Table1[[#This Row],[Category]],"-",Table1[[#This Row],[City]])</f>
        <v>Fitness-Kolkata</v>
      </c>
      <c r="O636" t="str">
        <f>LEFT(Table1[[#This Row],[Category]],3)</f>
        <v>Fit</v>
      </c>
      <c r="P636" s="2"/>
    </row>
    <row r="637" spans="1:16" x14ac:dyDescent="0.35">
      <c r="A637" t="s">
        <v>647</v>
      </c>
      <c r="B637" t="s">
        <v>1220</v>
      </c>
      <c r="C637" t="s">
        <v>1228</v>
      </c>
      <c r="D637">
        <v>1302</v>
      </c>
      <c r="E637">
        <v>3</v>
      </c>
      <c r="F637" t="s">
        <v>1275</v>
      </c>
      <c r="G637" t="s">
        <v>1589</v>
      </c>
      <c r="H637" t="s">
        <v>1593</v>
      </c>
      <c r="I637">
        <v>3906</v>
      </c>
      <c r="J637">
        <v>33</v>
      </c>
      <c r="K637" t="s">
        <v>1594</v>
      </c>
      <c r="L637" t="s">
        <v>1599</v>
      </c>
      <c r="M637" t="str">
        <f>IF(Table1[[#This Row],[Quantity]]&gt;2,"Bulk Order","Normal Order")</f>
        <v>Bulk Order</v>
      </c>
      <c r="N637" t="str">
        <f>_xlfn.CONCAT(Table1[[#This Row],[Category]],"-",Table1[[#This Row],[City]])</f>
        <v>Electronics-Bangalore</v>
      </c>
      <c r="O637" t="str">
        <f>LEFT(Table1[[#This Row],[Category]],3)</f>
        <v>Ele</v>
      </c>
      <c r="P637" s="2"/>
    </row>
    <row r="638" spans="1:16" x14ac:dyDescent="0.35">
      <c r="A638" t="s">
        <v>648</v>
      </c>
      <c r="B638" t="s">
        <v>1219</v>
      </c>
      <c r="C638" t="s">
        <v>1224</v>
      </c>
      <c r="D638">
        <v>425</v>
      </c>
      <c r="E638">
        <v>4</v>
      </c>
      <c r="F638" t="s">
        <v>1403</v>
      </c>
      <c r="G638" t="s">
        <v>1589</v>
      </c>
      <c r="H638" t="s">
        <v>1593</v>
      </c>
      <c r="I638">
        <v>1700</v>
      </c>
      <c r="J638">
        <v>82</v>
      </c>
      <c r="K638" t="s">
        <v>1596</v>
      </c>
      <c r="L638" t="s">
        <v>1599</v>
      </c>
      <c r="M638" t="str">
        <f>IF(Table1[[#This Row],[Quantity]]&gt;2,"Bulk Order","Normal Order")</f>
        <v>Bulk Order</v>
      </c>
      <c r="N638" t="str">
        <f>_xlfn.CONCAT(Table1[[#This Row],[Category]],"-",Table1[[#This Row],[City]])</f>
        <v>Lifestyle-Bangalore</v>
      </c>
      <c r="O638" t="str">
        <f>LEFT(Table1[[#This Row],[Category]],3)</f>
        <v>Lif</v>
      </c>
      <c r="P638" s="2"/>
    </row>
    <row r="639" spans="1:16" x14ac:dyDescent="0.35">
      <c r="A639" t="s">
        <v>649</v>
      </c>
      <c r="B639" t="s">
        <v>1217</v>
      </c>
      <c r="C639" t="s">
        <v>1224</v>
      </c>
      <c r="D639">
        <v>1868</v>
      </c>
      <c r="E639">
        <v>1</v>
      </c>
      <c r="F639" t="s">
        <v>1362</v>
      </c>
      <c r="G639" t="s">
        <v>1588</v>
      </c>
      <c r="H639" t="s">
        <v>1592</v>
      </c>
      <c r="I639">
        <v>1868</v>
      </c>
      <c r="J639">
        <v>83</v>
      </c>
      <c r="K639" t="s">
        <v>1595</v>
      </c>
      <c r="L639" t="s">
        <v>1599</v>
      </c>
      <c r="M639" t="str">
        <f>IF(Table1[[#This Row],[Quantity]]&gt;2,"Bulk Order","Normal Order")</f>
        <v>Normal Order</v>
      </c>
      <c r="N639" t="str">
        <f>_xlfn.CONCAT(Table1[[#This Row],[Category]],"-",Table1[[#This Row],[City]])</f>
        <v>Lifestyle-Delhi</v>
      </c>
      <c r="O639" t="str">
        <f>LEFT(Table1[[#This Row],[Category]],3)</f>
        <v>Lif</v>
      </c>
      <c r="P639" s="2"/>
    </row>
    <row r="640" spans="1:16" x14ac:dyDescent="0.35">
      <c r="A640" t="s">
        <v>650</v>
      </c>
      <c r="B640" t="s">
        <v>1222</v>
      </c>
      <c r="C640" t="s">
        <v>1228</v>
      </c>
      <c r="D640">
        <v>3138</v>
      </c>
      <c r="E640">
        <v>1</v>
      </c>
      <c r="F640" t="s">
        <v>1312</v>
      </c>
      <c r="G640" t="s">
        <v>1589</v>
      </c>
      <c r="H640" t="s">
        <v>1592</v>
      </c>
      <c r="I640">
        <v>3138</v>
      </c>
      <c r="J640">
        <v>44</v>
      </c>
      <c r="K640" t="s">
        <v>1595</v>
      </c>
      <c r="L640" t="s">
        <v>1599</v>
      </c>
      <c r="M640" t="str">
        <f>IF(Table1[[#This Row],[Quantity]]&gt;2,"Bulk Order","Normal Order")</f>
        <v>Normal Order</v>
      </c>
      <c r="N640" t="str">
        <f>_xlfn.CONCAT(Table1[[#This Row],[Category]],"-",Table1[[#This Row],[City]])</f>
        <v>Electronics-Bangalore</v>
      </c>
      <c r="O640" t="str">
        <f>LEFT(Table1[[#This Row],[Category]],3)</f>
        <v>Ele</v>
      </c>
      <c r="P640" s="2"/>
    </row>
    <row r="641" spans="1:16" x14ac:dyDescent="0.35">
      <c r="A641" t="s">
        <v>651</v>
      </c>
      <c r="B641" t="s">
        <v>1214</v>
      </c>
      <c r="C641" t="s">
        <v>1226</v>
      </c>
      <c r="D641">
        <v>3285</v>
      </c>
      <c r="E641">
        <v>4</v>
      </c>
      <c r="F641" t="s">
        <v>1535</v>
      </c>
      <c r="G641" t="s">
        <v>1589</v>
      </c>
      <c r="H641" t="s">
        <v>1593</v>
      </c>
      <c r="I641">
        <v>13140</v>
      </c>
      <c r="J641">
        <v>62</v>
      </c>
      <c r="K641" t="s">
        <v>1595</v>
      </c>
      <c r="L641" t="s">
        <v>1599</v>
      </c>
      <c r="M641" t="str">
        <f>IF(Table1[[#This Row],[Quantity]]&gt;2,"Bulk Order","Normal Order")</f>
        <v>Bulk Order</v>
      </c>
      <c r="N641" t="str">
        <f>_xlfn.CONCAT(Table1[[#This Row],[Category]],"-",Table1[[#This Row],[City]])</f>
        <v>Home-Bangalore</v>
      </c>
      <c r="O641" t="str">
        <f>LEFT(Table1[[#This Row],[Category]],3)</f>
        <v>Hom</v>
      </c>
      <c r="P641" s="2"/>
    </row>
    <row r="642" spans="1:16" x14ac:dyDescent="0.35">
      <c r="A642" t="s">
        <v>652</v>
      </c>
      <c r="B642" t="s">
        <v>1217</v>
      </c>
      <c r="C642" t="s">
        <v>1226</v>
      </c>
      <c r="D642">
        <v>4905</v>
      </c>
      <c r="E642">
        <v>3</v>
      </c>
      <c r="F642" t="s">
        <v>1531</v>
      </c>
      <c r="G642" t="s">
        <v>1588</v>
      </c>
      <c r="H642" t="s">
        <v>1593</v>
      </c>
      <c r="I642">
        <v>14715</v>
      </c>
      <c r="J642">
        <v>27</v>
      </c>
      <c r="K642" t="s">
        <v>1595</v>
      </c>
      <c r="L642" t="s">
        <v>1599</v>
      </c>
      <c r="M642" t="str">
        <f>IF(Table1[[#This Row],[Quantity]]&gt;2,"Bulk Order","Normal Order")</f>
        <v>Bulk Order</v>
      </c>
      <c r="N642" t="str">
        <f>_xlfn.CONCAT(Table1[[#This Row],[Category]],"-",Table1[[#This Row],[City]])</f>
        <v>Home-Delhi</v>
      </c>
      <c r="O642" t="str">
        <f>LEFT(Table1[[#This Row],[Category]],3)</f>
        <v>Hom</v>
      </c>
      <c r="P642" s="2"/>
    </row>
    <row r="643" spans="1:16" x14ac:dyDescent="0.35">
      <c r="A643" t="s">
        <v>653</v>
      </c>
      <c r="B643" t="s">
        <v>1223</v>
      </c>
      <c r="C643" t="s">
        <v>1225</v>
      </c>
      <c r="D643">
        <v>3163</v>
      </c>
      <c r="E643">
        <v>2</v>
      </c>
      <c r="F643" t="s">
        <v>1313</v>
      </c>
      <c r="G643" t="s">
        <v>1587</v>
      </c>
      <c r="H643" t="s">
        <v>1590</v>
      </c>
      <c r="I643">
        <v>6326</v>
      </c>
      <c r="J643">
        <v>86</v>
      </c>
      <c r="K643" t="s">
        <v>1594</v>
      </c>
      <c r="L643" t="s">
        <v>1599</v>
      </c>
      <c r="M643" t="str">
        <f>IF(Table1[[#This Row],[Quantity]]&gt;2,"Bulk Order","Normal Order")</f>
        <v>Normal Order</v>
      </c>
      <c r="N643" t="str">
        <f>_xlfn.CONCAT(Table1[[#This Row],[Category]],"-",Table1[[#This Row],[City]])</f>
        <v>Fitness-Mumbai</v>
      </c>
      <c r="O643" t="str">
        <f>LEFT(Table1[[#This Row],[Category]],3)</f>
        <v>Fit</v>
      </c>
      <c r="P643" s="2"/>
    </row>
    <row r="644" spans="1:16" x14ac:dyDescent="0.35">
      <c r="A644" t="s">
        <v>654</v>
      </c>
      <c r="B644" t="s">
        <v>1218</v>
      </c>
      <c r="C644" t="s">
        <v>1228</v>
      </c>
      <c r="D644">
        <v>2938</v>
      </c>
      <c r="E644">
        <v>2</v>
      </c>
      <c r="F644" t="s">
        <v>1526</v>
      </c>
      <c r="G644" t="s">
        <v>1587</v>
      </c>
      <c r="H644" t="s">
        <v>1591</v>
      </c>
      <c r="I644">
        <v>5876</v>
      </c>
      <c r="J644">
        <v>36</v>
      </c>
      <c r="K644" t="s">
        <v>1595</v>
      </c>
      <c r="L644" t="s">
        <v>1598</v>
      </c>
      <c r="M644" t="str">
        <f>IF(Table1[[#This Row],[Quantity]]&gt;2,"Bulk Order","Normal Order")</f>
        <v>Normal Order</v>
      </c>
      <c r="N644" t="str">
        <f>_xlfn.CONCAT(Table1[[#This Row],[Category]],"-",Table1[[#This Row],[City]])</f>
        <v>Electronics-Mumbai</v>
      </c>
      <c r="O644" t="str">
        <f>LEFT(Table1[[#This Row],[Category]],3)</f>
        <v>Ele</v>
      </c>
      <c r="P644" s="2"/>
    </row>
    <row r="645" spans="1:16" x14ac:dyDescent="0.35">
      <c r="A645" t="s">
        <v>655</v>
      </c>
      <c r="B645" t="s">
        <v>1221</v>
      </c>
      <c r="C645" t="s">
        <v>1227</v>
      </c>
      <c r="D645">
        <v>1923</v>
      </c>
      <c r="E645">
        <v>4</v>
      </c>
      <c r="F645" t="s">
        <v>1336</v>
      </c>
      <c r="G645" t="s">
        <v>1588</v>
      </c>
      <c r="H645" t="s">
        <v>1593</v>
      </c>
      <c r="I645">
        <v>7692</v>
      </c>
      <c r="J645">
        <v>31</v>
      </c>
      <c r="K645" t="s">
        <v>1595</v>
      </c>
      <c r="L645" t="s">
        <v>1599</v>
      </c>
      <c r="M645" t="str">
        <f>IF(Table1[[#This Row],[Quantity]]&gt;2,"Bulk Order","Normal Order")</f>
        <v>Bulk Order</v>
      </c>
      <c r="N645" t="str">
        <f>_xlfn.CONCAT(Table1[[#This Row],[Category]],"-",Table1[[#This Row],[City]])</f>
        <v>Accessories-Delhi</v>
      </c>
      <c r="O645" t="str">
        <f>LEFT(Table1[[#This Row],[Category]],3)</f>
        <v>Acc</v>
      </c>
      <c r="P645" s="2"/>
    </row>
    <row r="646" spans="1:16" x14ac:dyDescent="0.35">
      <c r="A646" t="s">
        <v>656</v>
      </c>
      <c r="B646" t="s">
        <v>1222</v>
      </c>
      <c r="C646" t="s">
        <v>1225</v>
      </c>
      <c r="D646">
        <v>1853</v>
      </c>
      <c r="E646">
        <v>2</v>
      </c>
      <c r="F646" t="s">
        <v>1536</v>
      </c>
      <c r="G646" t="s">
        <v>1588</v>
      </c>
      <c r="H646" t="s">
        <v>1590</v>
      </c>
      <c r="I646">
        <v>3706</v>
      </c>
      <c r="J646">
        <v>39</v>
      </c>
      <c r="K646" t="s">
        <v>1595</v>
      </c>
      <c r="L646" t="s">
        <v>1599</v>
      </c>
      <c r="M646" t="str">
        <f>IF(Table1[[#This Row],[Quantity]]&gt;2,"Bulk Order","Normal Order")</f>
        <v>Normal Order</v>
      </c>
      <c r="N646" t="str">
        <f>_xlfn.CONCAT(Table1[[#This Row],[Category]],"-",Table1[[#This Row],[City]])</f>
        <v>Fitness-Delhi</v>
      </c>
      <c r="O646" t="str">
        <f>LEFT(Table1[[#This Row],[Category]],3)</f>
        <v>Fit</v>
      </c>
      <c r="P646" s="2"/>
    </row>
    <row r="647" spans="1:16" x14ac:dyDescent="0.35">
      <c r="A647" t="s">
        <v>657</v>
      </c>
      <c r="B647" t="s">
        <v>1219</v>
      </c>
      <c r="C647" t="s">
        <v>1225</v>
      </c>
      <c r="D647">
        <v>3876</v>
      </c>
      <c r="E647">
        <v>1</v>
      </c>
      <c r="F647" t="s">
        <v>1302</v>
      </c>
      <c r="G647" t="s">
        <v>1585</v>
      </c>
      <c r="H647" t="s">
        <v>1592</v>
      </c>
      <c r="I647">
        <v>3876</v>
      </c>
      <c r="J647">
        <v>57</v>
      </c>
      <c r="K647" t="s">
        <v>1595</v>
      </c>
      <c r="L647" t="s">
        <v>1597</v>
      </c>
      <c r="M647" t="str">
        <f>IF(Table1[[#This Row],[Quantity]]&gt;2,"Bulk Order","Normal Order")</f>
        <v>Normal Order</v>
      </c>
      <c r="N647" t="str">
        <f>_xlfn.CONCAT(Table1[[#This Row],[Category]],"-",Table1[[#This Row],[City]])</f>
        <v>Fitness-Kolkata</v>
      </c>
      <c r="O647" t="str">
        <f>LEFT(Table1[[#This Row],[Category]],3)</f>
        <v>Fit</v>
      </c>
      <c r="P647" s="2"/>
    </row>
    <row r="648" spans="1:16" x14ac:dyDescent="0.35">
      <c r="A648" t="s">
        <v>658</v>
      </c>
      <c r="B648" t="s">
        <v>1221</v>
      </c>
      <c r="C648" t="s">
        <v>1224</v>
      </c>
      <c r="D648">
        <v>2501</v>
      </c>
      <c r="E648">
        <v>3</v>
      </c>
      <c r="F648" t="s">
        <v>1485</v>
      </c>
      <c r="G648" t="s">
        <v>1585</v>
      </c>
      <c r="H648" t="s">
        <v>1592</v>
      </c>
      <c r="I648">
        <v>7503</v>
      </c>
      <c r="J648">
        <v>76</v>
      </c>
      <c r="K648" t="s">
        <v>1595</v>
      </c>
      <c r="L648" t="s">
        <v>1597</v>
      </c>
      <c r="M648" t="str">
        <f>IF(Table1[[#This Row],[Quantity]]&gt;2,"Bulk Order","Normal Order")</f>
        <v>Bulk Order</v>
      </c>
      <c r="N648" t="str">
        <f>_xlfn.CONCAT(Table1[[#This Row],[Category]],"-",Table1[[#This Row],[City]])</f>
        <v>Lifestyle-Kolkata</v>
      </c>
      <c r="O648" t="str">
        <f>LEFT(Table1[[#This Row],[Category]],3)</f>
        <v>Lif</v>
      </c>
      <c r="P648" s="2"/>
    </row>
    <row r="649" spans="1:16" x14ac:dyDescent="0.35">
      <c r="A649" t="s">
        <v>659</v>
      </c>
      <c r="B649" t="s">
        <v>1221</v>
      </c>
      <c r="C649" t="s">
        <v>1228</v>
      </c>
      <c r="D649">
        <v>174</v>
      </c>
      <c r="E649">
        <v>4</v>
      </c>
      <c r="F649" t="s">
        <v>1236</v>
      </c>
      <c r="G649" t="s">
        <v>1585</v>
      </c>
      <c r="H649" t="s">
        <v>1593</v>
      </c>
      <c r="I649">
        <v>696</v>
      </c>
      <c r="J649">
        <v>57</v>
      </c>
      <c r="K649" t="s">
        <v>1595</v>
      </c>
      <c r="L649" t="s">
        <v>1599</v>
      </c>
      <c r="M649" t="str">
        <f>IF(Table1[[#This Row],[Quantity]]&gt;2,"Bulk Order","Normal Order")</f>
        <v>Bulk Order</v>
      </c>
      <c r="N649" t="str">
        <f>_xlfn.CONCAT(Table1[[#This Row],[Category]],"-",Table1[[#This Row],[City]])</f>
        <v>Electronics-Kolkata</v>
      </c>
      <c r="O649" t="str">
        <f>LEFT(Table1[[#This Row],[Category]],3)</f>
        <v>Ele</v>
      </c>
      <c r="P649" s="2"/>
    </row>
    <row r="650" spans="1:16" x14ac:dyDescent="0.35">
      <c r="A650" t="s">
        <v>660</v>
      </c>
      <c r="B650" t="s">
        <v>1212</v>
      </c>
      <c r="C650" t="s">
        <v>1226</v>
      </c>
      <c r="D650">
        <v>2896</v>
      </c>
      <c r="E650">
        <v>2</v>
      </c>
      <c r="F650" t="s">
        <v>1537</v>
      </c>
      <c r="G650" t="s">
        <v>1589</v>
      </c>
      <c r="H650" t="s">
        <v>1593</v>
      </c>
      <c r="I650">
        <v>5792</v>
      </c>
      <c r="J650">
        <v>78</v>
      </c>
      <c r="K650" t="s">
        <v>1595</v>
      </c>
      <c r="L650" t="s">
        <v>1599</v>
      </c>
      <c r="M650" t="str">
        <f>IF(Table1[[#This Row],[Quantity]]&gt;2,"Bulk Order","Normal Order")</f>
        <v>Normal Order</v>
      </c>
      <c r="N650" t="str">
        <f>_xlfn.CONCAT(Table1[[#This Row],[Category]],"-",Table1[[#This Row],[City]])</f>
        <v>Home-Bangalore</v>
      </c>
      <c r="O650" t="str">
        <f>LEFT(Table1[[#This Row],[Category]],3)</f>
        <v>Hom</v>
      </c>
      <c r="P650" s="2"/>
    </row>
    <row r="651" spans="1:16" x14ac:dyDescent="0.35">
      <c r="A651" t="s">
        <v>661</v>
      </c>
      <c r="B651" t="s">
        <v>1219</v>
      </c>
      <c r="C651" t="s">
        <v>1226</v>
      </c>
      <c r="D651">
        <v>1875</v>
      </c>
      <c r="E651">
        <v>4</v>
      </c>
      <c r="F651" t="s">
        <v>1531</v>
      </c>
      <c r="G651" t="s">
        <v>1584</v>
      </c>
      <c r="H651" t="s">
        <v>1591</v>
      </c>
      <c r="I651">
        <v>7500</v>
      </c>
      <c r="J651">
        <v>37</v>
      </c>
      <c r="K651" t="s">
        <v>1594</v>
      </c>
      <c r="L651" t="s">
        <v>1599</v>
      </c>
      <c r="M651" t="str">
        <f>IF(Table1[[#This Row],[Quantity]]&gt;2,"Bulk Order","Normal Order")</f>
        <v>Bulk Order</v>
      </c>
      <c r="N651" t="str">
        <f>_xlfn.CONCAT(Table1[[#This Row],[Category]],"-",Table1[[#This Row],[City]])</f>
        <v>Home-Chennai</v>
      </c>
      <c r="O651" t="str">
        <f>LEFT(Table1[[#This Row],[Category]],3)</f>
        <v>Hom</v>
      </c>
      <c r="P651" s="2"/>
    </row>
    <row r="652" spans="1:16" x14ac:dyDescent="0.35">
      <c r="A652" t="s">
        <v>662</v>
      </c>
      <c r="B652" t="s">
        <v>1218</v>
      </c>
      <c r="C652" t="s">
        <v>1227</v>
      </c>
      <c r="D652">
        <v>4163</v>
      </c>
      <c r="E652">
        <v>4</v>
      </c>
      <c r="F652" t="s">
        <v>1463</v>
      </c>
      <c r="G652" t="s">
        <v>1588</v>
      </c>
      <c r="H652" t="s">
        <v>1593</v>
      </c>
      <c r="I652">
        <v>16652</v>
      </c>
      <c r="J652">
        <v>60</v>
      </c>
      <c r="K652" t="s">
        <v>1595</v>
      </c>
      <c r="L652" t="s">
        <v>1598</v>
      </c>
      <c r="M652" t="str">
        <f>IF(Table1[[#This Row],[Quantity]]&gt;2,"Bulk Order","Normal Order")</f>
        <v>Bulk Order</v>
      </c>
      <c r="N652" t="str">
        <f>_xlfn.CONCAT(Table1[[#This Row],[Category]],"-",Table1[[#This Row],[City]])</f>
        <v>Accessories-Delhi</v>
      </c>
      <c r="O652" t="str">
        <f>LEFT(Table1[[#This Row],[Category]],3)</f>
        <v>Acc</v>
      </c>
      <c r="P652" s="2"/>
    </row>
    <row r="653" spans="1:16" x14ac:dyDescent="0.35">
      <c r="A653" t="s">
        <v>663</v>
      </c>
      <c r="B653" t="s">
        <v>1219</v>
      </c>
      <c r="C653" t="s">
        <v>1225</v>
      </c>
      <c r="D653">
        <v>1248</v>
      </c>
      <c r="E653">
        <v>3</v>
      </c>
      <c r="F653" t="s">
        <v>1538</v>
      </c>
      <c r="G653" t="s">
        <v>1586</v>
      </c>
      <c r="H653" t="s">
        <v>1590</v>
      </c>
      <c r="I653">
        <v>3744</v>
      </c>
      <c r="J653">
        <v>20</v>
      </c>
      <c r="K653" t="s">
        <v>1595</v>
      </c>
      <c r="L653" t="s">
        <v>1598</v>
      </c>
      <c r="M653" t="str">
        <f>IF(Table1[[#This Row],[Quantity]]&gt;2,"Bulk Order","Normal Order")</f>
        <v>Bulk Order</v>
      </c>
      <c r="N653" t="str">
        <f>_xlfn.CONCAT(Table1[[#This Row],[Category]],"-",Table1[[#This Row],[City]])</f>
        <v>Fitness-Hyderabad</v>
      </c>
      <c r="O653" t="str">
        <f>LEFT(Table1[[#This Row],[Category]],3)</f>
        <v>Fit</v>
      </c>
      <c r="P653" s="2"/>
    </row>
    <row r="654" spans="1:16" x14ac:dyDescent="0.35">
      <c r="A654" t="s">
        <v>664</v>
      </c>
      <c r="B654" t="s">
        <v>1212</v>
      </c>
      <c r="C654" t="s">
        <v>1228</v>
      </c>
      <c r="D654">
        <v>4363</v>
      </c>
      <c r="E654">
        <v>2</v>
      </c>
      <c r="F654" t="s">
        <v>1312</v>
      </c>
      <c r="G654" t="s">
        <v>1588</v>
      </c>
      <c r="H654" t="s">
        <v>1590</v>
      </c>
      <c r="I654">
        <v>8726</v>
      </c>
      <c r="J654">
        <v>59</v>
      </c>
      <c r="K654" t="s">
        <v>1594</v>
      </c>
      <c r="L654" t="s">
        <v>1598</v>
      </c>
      <c r="M654" t="str">
        <f>IF(Table1[[#This Row],[Quantity]]&gt;2,"Bulk Order","Normal Order")</f>
        <v>Normal Order</v>
      </c>
      <c r="N654" t="str">
        <f>_xlfn.CONCAT(Table1[[#This Row],[Category]],"-",Table1[[#This Row],[City]])</f>
        <v>Electronics-Delhi</v>
      </c>
      <c r="O654" t="str">
        <f>LEFT(Table1[[#This Row],[Category]],3)</f>
        <v>Ele</v>
      </c>
      <c r="P654" s="2"/>
    </row>
    <row r="655" spans="1:16" x14ac:dyDescent="0.35">
      <c r="A655" t="s">
        <v>665</v>
      </c>
      <c r="B655" t="s">
        <v>1219</v>
      </c>
      <c r="C655" t="s">
        <v>1227</v>
      </c>
      <c r="D655">
        <v>3230</v>
      </c>
      <c r="E655">
        <v>3</v>
      </c>
      <c r="F655" t="s">
        <v>1539</v>
      </c>
      <c r="G655" t="s">
        <v>1584</v>
      </c>
      <c r="H655" t="s">
        <v>1593</v>
      </c>
      <c r="I655">
        <v>9690</v>
      </c>
      <c r="J655">
        <v>51</v>
      </c>
      <c r="K655" t="s">
        <v>1595</v>
      </c>
      <c r="L655" t="s">
        <v>1599</v>
      </c>
      <c r="M655" t="str">
        <f>IF(Table1[[#This Row],[Quantity]]&gt;2,"Bulk Order","Normal Order")</f>
        <v>Bulk Order</v>
      </c>
      <c r="N655" t="str">
        <f>_xlfn.CONCAT(Table1[[#This Row],[Category]],"-",Table1[[#This Row],[City]])</f>
        <v>Accessories-Chennai</v>
      </c>
      <c r="O655" t="str">
        <f>LEFT(Table1[[#This Row],[Category]],3)</f>
        <v>Acc</v>
      </c>
      <c r="P655" s="2"/>
    </row>
    <row r="656" spans="1:16" x14ac:dyDescent="0.35">
      <c r="A656" t="s">
        <v>666</v>
      </c>
      <c r="B656" t="s">
        <v>1221</v>
      </c>
      <c r="C656" t="s">
        <v>1226</v>
      </c>
      <c r="D656">
        <v>4146</v>
      </c>
      <c r="E656">
        <v>1</v>
      </c>
      <c r="F656" t="s">
        <v>1332</v>
      </c>
      <c r="G656" t="s">
        <v>1585</v>
      </c>
      <c r="H656" t="s">
        <v>1593</v>
      </c>
      <c r="I656">
        <v>4146</v>
      </c>
      <c r="J656">
        <v>67</v>
      </c>
      <c r="K656" t="s">
        <v>1595</v>
      </c>
      <c r="L656" t="s">
        <v>1597</v>
      </c>
      <c r="M656" t="str">
        <f>IF(Table1[[#This Row],[Quantity]]&gt;2,"Bulk Order","Normal Order")</f>
        <v>Normal Order</v>
      </c>
      <c r="N656" t="str">
        <f>_xlfn.CONCAT(Table1[[#This Row],[Category]],"-",Table1[[#This Row],[City]])</f>
        <v>Home-Kolkata</v>
      </c>
      <c r="O656" t="str">
        <f>LEFT(Table1[[#This Row],[Category]],3)</f>
        <v>Hom</v>
      </c>
      <c r="P656" s="2"/>
    </row>
    <row r="657" spans="1:16" x14ac:dyDescent="0.35">
      <c r="A657" t="s">
        <v>667</v>
      </c>
      <c r="B657" t="s">
        <v>1222</v>
      </c>
      <c r="C657" t="s">
        <v>1228</v>
      </c>
      <c r="D657">
        <v>4183</v>
      </c>
      <c r="E657">
        <v>3</v>
      </c>
      <c r="F657" t="s">
        <v>1540</v>
      </c>
      <c r="G657" t="s">
        <v>1589</v>
      </c>
      <c r="H657" t="s">
        <v>1591</v>
      </c>
      <c r="I657">
        <v>12549</v>
      </c>
      <c r="J657">
        <v>70</v>
      </c>
      <c r="K657" t="s">
        <v>1594</v>
      </c>
      <c r="L657" t="s">
        <v>1599</v>
      </c>
      <c r="M657" t="str">
        <f>IF(Table1[[#This Row],[Quantity]]&gt;2,"Bulk Order","Normal Order")</f>
        <v>Bulk Order</v>
      </c>
      <c r="N657" t="str">
        <f>_xlfn.CONCAT(Table1[[#This Row],[Category]],"-",Table1[[#This Row],[City]])</f>
        <v>Electronics-Bangalore</v>
      </c>
      <c r="O657" t="str">
        <f>LEFT(Table1[[#This Row],[Category]],3)</f>
        <v>Ele</v>
      </c>
      <c r="P657" s="2"/>
    </row>
    <row r="658" spans="1:16" x14ac:dyDescent="0.35">
      <c r="A658" t="s">
        <v>668</v>
      </c>
      <c r="B658" t="s">
        <v>1216</v>
      </c>
      <c r="C658" t="s">
        <v>1228</v>
      </c>
      <c r="D658">
        <v>3591</v>
      </c>
      <c r="E658">
        <v>1</v>
      </c>
      <c r="F658" t="s">
        <v>1428</v>
      </c>
      <c r="G658" t="s">
        <v>1589</v>
      </c>
      <c r="H658" t="s">
        <v>1590</v>
      </c>
      <c r="I658">
        <v>3591</v>
      </c>
      <c r="J658">
        <v>31</v>
      </c>
      <c r="K658" t="s">
        <v>1596</v>
      </c>
      <c r="L658" t="s">
        <v>1599</v>
      </c>
      <c r="M658" t="str">
        <f>IF(Table1[[#This Row],[Quantity]]&gt;2,"Bulk Order","Normal Order")</f>
        <v>Normal Order</v>
      </c>
      <c r="N658" t="str">
        <f>_xlfn.CONCAT(Table1[[#This Row],[Category]],"-",Table1[[#This Row],[City]])</f>
        <v>Electronics-Bangalore</v>
      </c>
      <c r="O658" t="str">
        <f>LEFT(Table1[[#This Row],[Category]],3)</f>
        <v>Ele</v>
      </c>
      <c r="P658" s="2"/>
    </row>
    <row r="659" spans="1:16" x14ac:dyDescent="0.35">
      <c r="A659" t="s">
        <v>669</v>
      </c>
      <c r="B659" t="s">
        <v>1216</v>
      </c>
      <c r="C659" t="s">
        <v>1225</v>
      </c>
      <c r="D659">
        <v>873</v>
      </c>
      <c r="E659">
        <v>4</v>
      </c>
      <c r="F659" t="s">
        <v>1541</v>
      </c>
      <c r="G659" t="s">
        <v>1589</v>
      </c>
      <c r="H659" t="s">
        <v>1591</v>
      </c>
      <c r="I659">
        <v>3492</v>
      </c>
      <c r="J659">
        <v>84</v>
      </c>
      <c r="K659" t="s">
        <v>1594</v>
      </c>
      <c r="L659" t="s">
        <v>1598</v>
      </c>
      <c r="M659" t="str">
        <f>IF(Table1[[#This Row],[Quantity]]&gt;2,"Bulk Order","Normal Order")</f>
        <v>Bulk Order</v>
      </c>
      <c r="N659" t="str">
        <f>_xlfn.CONCAT(Table1[[#This Row],[Category]],"-",Table1[[#This Row],[City]])</f>
        <v>Fitness-Bangalore</v>
      </c>
      <c r="O659" t="str">
        <f>LEFT(Table1[[#This Row],[Category]],3)</f>
        <v>Fit</v>
      </c>
      <c r="P659" s="2"/>
    </row>
    <row r="660" spans="1:16" x14ac:dyDescent="0.35">
      <c r="A660" t="s">
        <v>670</v>
      </c>
      <c r="B660" t="s">
        <v>1222</v>
      </c>
      <c r="C660" t="s">
        <v>1228</v>
      </c>
      <c r="D660">
        <v>3863</v>
      </c>
      <c r="E660">
        <v>3</v>
      </c>
      <c r="F660" t="s">
        <v>1371</v>
      </c>
      <c r="G660" t="s">
        <v>1584</v>
      </c>
      <c r="H660" t="s">
        <v>1592</v>
      </c>
      <c r="I660">
        <v>11589</v>
      </c>
      <c r="J660">
        <v>45</v>
      </c>
      <c r="K660" t="s">
        <v>1595</v>
      </c>
      <c r="L660" t="s">
        <v>1598</v>
      </c>
      <c r="M660" t="str">
        <f>IF(Table1[[#This Row],[Quantity]]&gt;2,"Bulk Order","Normal Order")</f>
        <v>Bulk Order</v>
      </c>
      <c r="N660" t="str">
        <f>_xlfn.CONCAT(Table1[[#This Row],[Category]],"-",Table1[[#This Row],[City]])</f>
        <v>Electronics-Chennai</v>
      </c>
      <c r="O660" t="str">
        <f>LEFT(Table1[[#This Row],[Category]],3)</f>
        <v>Ele</v>
      </c>
      <c r="P660" s="2"/>
    </row>
    <row r="661" spans="1:16" x14ac:dyDescent="0.35">
      <c r="A661" t="s">
        <v>671</v>
      </c>
      <c r="B661" t="s">
        <v>1219</v>
      </c>
      <c r="C661" t="s">
        <v>1226</v>
      </c>
      <c r="D661">
        <v>918</v>
      </c>
      <c r="E661">
        <v>4</v>
      </c>
      <c r="F661" t="s">
        <v>1542</v>
      </c>
      <c r="G661" t="s">
        <v>1588</v>
      </c>
      <c r="H661" t="s">
        <v>1590</v>
      </c>
      <c r="I661">
        <v>3672</v>
      </c>
      <c r="J661">
        <v>28</v>
      </c>
      <c r="K661" t="s">
        <v>1594</v>
      </c>
      <c r="L661" t="s">
        <v>1598</v>
      </c>
      <c r="M661" t="str">
        <f>IF(Table1[[#This Row],[Quantity]]&gt;2,"Bulk Order","Normal Order")</f>
        <v>Bulk Order</v>
      </c>
      <c r="N661" t="str">
        <f>_xlfn.CONCAT(Table1[[#This Row],[Category]],"-",Table1[[#This Row],[City]])</f>
        <v>Home-Delhi</v>
      </c>
      <c r="O661" t="str">
        <f>LEFT(Table1[[#This Row],[Category]],3)</f>
        <v>Hom</v>
      </c>
      <c r="P661" s="2"/>
    </row>
    <row r="662" spans="1:16" x14ac:dyDescent="0.35">
      <c r="A662" t="s">
        <v>672</v>
      </c>
      <c r="B662" t="s">
        <v>1214</v>
      </c>
      <c r="C662" t="s">
        <v>1226</v>
      </c>
      <c r="D662">
        <v>4022</v>
      </c>
      <c r="E662">
        <v>1</v>
      </c>
      <c r="F662" t="s">
        <v>1455</v>
      </c>
      <c r="G662" t="s">
        <v>1588</v>
      </c>
      <c r="H662" t="s">
        <v>1593</v>
      </c>
      <c r="I662">
        <v>4022</v>
      </c>
      <c r="J662">
        <v>40</v>
      </c>
      <c r="K662" t="s">
        <v>1595</v>
      </c>
      <c r="L662" t="s">
        <v>1599</v>
      </c>
      <c r="M662" t="str">
        <f>IF(Table1[[#This Row],[Quantity]]&gt;2,"Bulk Order","Normal Order")</f>
        <v>Normal Order</v>
      </c>
      <c r="N662" t="str">
        <f>_xlfn.CONCAT(Table1[[#This Row],[Category]],"-",Table1[[#This Row],[City]])</f>
        <v>Home-Delhi</v>
      </c>
      <c r="O662" t="str">
        <f>LEFT(Table1[[#This Row],[Category]],3)</f>
        <v>Hom</v>
      </c>
      <c r="P662" s="2"/>
    </row>
    <row r="663" spans="1:16" x14ac:dyDescent="0.35">
      <c r="A663" t="s">
        <v>673</v>
      </c>
      <c r="B663" t="s">
        <v>1223</v>
      </c>
      <c r="C663" t="s">
        <v>1228</v>
      </c>
      <c r="D663">
        <v>1523</v>
      </c>
      <c r="E663">
        <v>3</v>
      </c>
      <c r="F663" t="s">
        <v>1448</v>
      </c>
      <c r="G663" t="s">
        <v>1585</v>
      </c>
      <c r="H663" t="s">
        <v>1591</v>
      </c>
      <c r="I663">
        <v>4569</v>
      </c>
      <c r="J663">
        <v>51</v>
      </c>
      <c r="K663" t="s">
        <v>1594</v>
      </c>
      <c r="L663" t="s">
        <v>1599</v>
      </c>
      <c r="M663" t="str">
        <f>IF(Table1[[#This Row],[Quantity]]&gt;2,"Bulk Order","Normal Order")</f>
        <v>Bulk Order</v>
      </c>
      <c r="N663" t="str">
        <f>_xlfn.CONCAT(Table1[[#This Row],[Category]],"-",Table1[[#This Row],[City]])</f>
        <v>Electronics-Kolkata</v>
      </c>
      <c r="O663" t="str">
        <f>LEFT(Table1[[#This Row],[Category]],3)</f>
        <v>Ele</v>
      </c>
      <c r="P663" s="2"/>
    </row>
    <row r="664" spans="1:16" x14ac:dyDescent="0.35">
      <c r="A664" t="s">
        <v>674</v>
      </c>
      <c r="B664" t="s">
        <v>1222</v>
      </c>
      <c r="C664" t="s">
        <v>1228</v>
      </c>
      <c r="D664">
        <v>1798</v>
      </c>
      <c r="E664">
        <v>2</v>
      </c>
      <c r="F664" t="s">
        <v>1501</v>
      </c>
      <c r="G664" t="s">
        <v>1587</v>
      </c>
      <c r="H664" t="s">
        <v>1592</v>
      </c>
      <c r="I664">
        <v>3596</v>
      </c>
      <c r="J664">
        <v>45</v>
      </c>
      <c r="K664" t="s">
        <v>1595</v>
      </c>
      <c r="L664" t="s">
        <v>1599</v>
      </c>
      <c r="M664" t="str">
        <f>IF(Table1[[#This Row],[Quantity]]&gt;2,"Bulk Order","Normal Order")</f>
        <v>Normal Order</v>
      </c>
      <c r="N664" t="str">
        <f>_xlfn.CONCAT(Table1[[#This Row],[Category]],"-",Table1[[#This Row],[City]])</f>
        <v>Electronics-Mumbai</v>
      </c>
      <c r="O664" t="str">
        <f>LEFT(Table1[[#This Row],[Category]],3)</f>
        <v>Ele</v>
      </c>
      <c r="P664" s="2"/>
    </row>
    <row r="665" spans="1:16" x14ac:dyDescent="0.35">
      <c r="A665" t="s">
        <v>675</v>
      </c>
      <c r="B665" t="s">
        <v>1213</v>
      </c>
      <c r="C665" t="s">
        <v>1226</v>
      </c>
      <c r="D665">
        <v>375</v>
      </c>
      <c r="E665">
        <v>2</v>
      </c>
      <c r="F665" t="s">
        <v>1543</v>
      </c>
      <c r="G665" t="s">
        <v>1588</v>
      </c>
      <c r="H665" t="s">
        <v>1590</v>
      </c>
      <c r="I665">
        <v>750</v>
      </c>
      <c r="J665">
        <v>63</v>
      </c>
      <c r="K665" t="s">
        <v>1595</v>
      </c>
      <c r="L665" t="s">
        <v>1598</v>
      </c>
      <c r="M665" t="str">
        <f>IF(Table1[[#This Row],[Quantity]]&gt;2,"Bulk Order","Normal Order")</f>
        <v>Normal Order</v>
      </c>
      <c r="N665" t="str">
        <f>_xlfn.CONCAT(Table1[[#This Row],[Category]],"-",Table1[[#This Row],[City]])</f>
        <v>Home-Delhi</v>
      </c>
      <c r="O665" t="str">
        <f>LEFT(Table1[[#This Row],[Category]],3)</f>
        <v>Hom</v>
      </c>
      <c r="P665" s="2"/>
    </row>
    <row r="666" spans="1:16" x14ac:dyDescent="0.35">
      <c r="A666" t="s">
        <v>676</v>
      </c>
      <c r="B666" t="s">
        <v>1220</v>
      </c>
      <c r="C666" t="s">
        <v>1225</v>
      </c>
      <c r="D666">
        <v>231</v>
      </c>
      <c r="E666">
        <v>4</v>
      </c>
      <c r="F666" t="s">
        <v>1429</v>
      </c>
      <c r="G666" t="s">
        <v>1586</v>
      </c>
      <c r="H666" t="s">
        <v>1593</v>
      </c>
      <c r="I666">
        <v>924</v>
      </c>
      <c r="J666">
        <v>25</v>
      </c>
      <c r="K666" t="s">
        <v>1595</v>
      </c>
      <c r="L666" t="s">
        <v>1599</v>
      </c>
      <c r="M666" t="str">
        <f>IF(Table1[[#This Row],[Quantity]]&gt;2,"Bulk Order","Normal Order")</f>
        <v>Bulk Order</v>
      </c>
      <c r="N666" t="str">
        <f>_xlfn.CONCAT(Table1[[#This Row],[Category]],"-",Table1[[#This Row],[City]])</f>
        <v>Fitness-Hyderabad</v>
      </c>
      <c r="O666" t="str">
        <f>LEFT(Table1[[#This Row],[Category]],3)</f>
        <v>Fit</v>
      </c>
      <c r="P666" s="2"/>
    </row>
    <row r="667" spans="1:16" x14ac:dyDescent="0.35">
      <c r="A667" t="s">
        <v>677</v>
      </c>
      <c r="B667" t="s">
        <v>1215</v>
      </c>
      <c r="C667" t="s">
        <v>1226</v>
      </c>
      <c r="D667">
        <v>665</v>
      </c>
      <c r="E667">
        <v>4</v>
      </c>
      <c r="F667" t="s">
        <v>1517</v>
      </c>
      <c r="G667" t="s">
        <v>1586</v>
      </c>
      <c r="H667" t="s">
        <v>1593</v>
      </c>
      <c r="I667">
        <v>2660</v>
      </c>
      <c r="J667">
        <v>69</v>
      </c>
      <c r="K667" t="s">
        <v>1595</v>
      </c>
      <c r="L667" t="s">
        <v>1598</v>
      </c>
      <c r="M667" t="str">
        <f>IF(Table1[[#This Row],[Quantity]]&gt;2,"Bulk Order","Normal Order")</f>
        <v>Bulk Order</v>
      </c>
      <c r="N667" t="str">
        <f>_xlfn.CONCAT(Table1[[#This Row],[Category]],"-",Table1[[#This Row],[City]])</f>
        <v>Home-Hyderabad</v>
      </c>
      <c r="O667" t="str">
        <f>LEFT(Table1[[#This Row],[Category]],3)</f>
        <v>Hom</v>
      </c>
      <c r="P667" s="2"/>
    </row>
    <row r="668" spans="1:16" x14ac:dyDescent="0.35">
      <c r="A668" t="s">
        <v>678</v>
      </c>
      <c r="B668" t="s">
        <v>1223</v>
      </c>
      <c r="C668" t="s">
        <v>1226</v>
      </c>
      <c r="D668">
        <v>4742</v>
      </c>
      <c r="E668">
        <v>3</v>
      </c>
      <c r="F668" t="s">
        <v>1445</v>
      </c>
      <c r="G668" t="s">
        <v>1586</v>
      </c>
      <c r="H668" t="s">
        <v>1590</v>
      </c>
      <c r="I668">
        <v>14226</v>
      </c>
      <c r="J668">
        <v>85</v>
      </c>
      <c r="K668" t="s">
        <v>1595</v>
      </c>
      <c r="L668" t="s">
        <v>1599</v>
      </c>
      <c r="M668" t="str">
        <f>IF(Table1[[#This Row],[Quantity]]&gt;2,"Bulk Order","Normal Order")</f>
        <v>Bulk Order</v>
      </c>
      <c r="N668" t="str">
        <f>_xlfn.CONCAT(Table1[[#This Row],[Category]],"-",Table1[[#This Row],[City]])</f>
        <v>Home-Hyderabad</v>
      </c>
      <c r="O668" t="str">
        <f>LEFT(Table1[[#This Row],[Category]],3)</f>
        <v>Hom</v>
      </c>
      <c r="P668" s="2"/>
    </row>
    <row r="669" spans="1:16" x14ac:dyDescent="0.35">
      <c r="A669" t="s">
        <v>679</v>
      </c>
      <c r="B669" t="s">
        <v>1214</v>
      </c>
      <c r="C669" t="s">
        <v>1227</v>
      </c>
      <c r="D669">
        <v>4864</v>
      </c>
      <c r="E669">
        <v>2</v>
      </c>
      <c r="F669" t="s">
        <v>1305</v>
      </c>
      <c r="G669" t="s">
        <v>1584</v>
      </c>
      <c r="H669" t="s">
        <v>1593</v>
      </c>
      <c r="I669">
        <v>9728</v>
      </c>
      <c r="J669">
        <v>47</v>
      </c>
      <c r="K669" t="s">
        <v>1595</v>
      </c>
      <c r="L669" t="s">
        <v>1599</v>
      </c>
      <c r="M669" t="str">
        <f>IF(Table1[[#This Row],[Quantity]]&gt;2,"Bulk Order","Normal Order")</f>
        <v>Normal Order</v>
      </c>
      <c r="N669" t="str">
        <f>_xlfn.CONCAT(Table1[[#This Row],[Category]],"-",Table1[[#This Row],[City]])</f>
        <v>Accessories-Chennai</v>
      </c>
      <c r="O669" t="str">
        <f>LEFT(Table1[[#This Row],[Category]],3)</f>
        <v>Acc</v>
      </c>
      <c r="P669" s="2"/>
    </row>
    <row r="670" spans="1:16" x14ac:dyDescent="0.35">
      <c r="A670" t="s">
        <v>680</v>
      </c>
      <c r="B670" t="s">
        <v>1214</v>
      </c>
      <c r="C670" t="s">
        <v>1226</v>
      </c>
      <c r="D670">
        <v>1582</v>
      </c>
      <c r="E670">
        <v>1</v>
      </c>
      <c r="F670" t="s">
        <v>1289</v>
      </c>
      <c r="G670" t="s">
        <v>1586</v>
      </c>
      <c r="H670" t="s">
        <v>1592</v>
      </c>
      <c r="I670">
        <v>1582</v>
      </c>
      <c r="J670">
        <v>63</v>
      </c>
      <c r="K670" t="s">
        <v>1594</v>
      </c>
      <c r="L670" t="s">
        <v>1599</v>
      </c>
      <c r="M670" t="str">
        <f>IF(Table1[[#This Row],[Quantity]]&gt;2,"Bulk Order","Normal Order")</f>
        <v>Normal Order</v>
      </c>
      <c r="N670" t="str">
        <f>_xlfn.CONCAT(Table1[[#This Row],[Category]],"-",Table1[[#This Row],[City]])</f>
        <v>Home-Hyderabad</v>
      </c>
      <c r="O670" t="str">
        <f>LEFT(Table1[[#This Row],[Category]],3)</f>
        <v>Hom</v>
      </c>
      <c r="P670" s="2"/>
    </row>
    <row r="671" spans="1:16" x14ac:dyDescent="0.35">
      <c r="A671" t="s">
        <v>681</v>
      </c>
      <c r="B671" t="s">
        <v>1219</v>
      </c>
      <c r="C671" t="s">
        <v>1227</v>
      </c>
      <c r="D671">
        <v>618</v>
      </c>
      <c r="E671">
        <v>1</v>
      </c>
      <c r="F671" t="s">
        <v>1397</v>
      </c>
      <c r="G671" t="s">
        <v>1584</v>
      </c>
      <c r="H671" t="s">
        <v>1590</v>
      </c>
      <c r="I671">
        <v>618</v>
      </c>
      <c r="J671">
        <v>22</v>
      </c>
      <c r="K671" t="s">
        <v>1595</v>
      </c>
      <c r="L671" t="s">
        <v>1598</v>
      </c>
      <c r="M671" t="str">
        <f>IF(Table1[[#This Row],[Quantity]]&gt;2,"Bulk Order","Normal Order")</f>
        <v>Normal Order</v>
      </c>
      <c r="N671" t="str">
        <f>_xlfn.CONCAT(Table1[[#This Row],[Category]],"-",Table1[[#This Row],[City]])</f>
        <v>Accessories-Chennai</v>
      </c>
      <c r="O671" t="str">
        <f>LEFT(Table1[[#This Row],[Category]],3)</f>
        <v>Acc</v>
      </c>
      <c r="P671" s="2"/>
    </row>
    <row r="672" spans="1:16" x14ac:dyDescent="0.35">
      <c r="A672" t="s">
        <v>682</v>
      </c>
      <c r="B672" t="s">
        <v>1213</v>
      </c>
      <c r="C672" t="s">
        <v>1226</v>
      </c>
      <c r="D672">
        <v>982</v>
      </c>
      <c r="E672">
        <v>4</v>
      </c>
      <c r="F672" t="s">
        <v>1509</v>
      </c>
      <c r="G672" t="s">
        <v>1585</v>
      </c>
      <c r="H672" t="s">
        <v>1592</v>
      </c>
      <c r="I672">
        <v>3928</v>
      </c>
      <c r="J672">
        <v>37</v>
      </c>
      <c r="K672" t="s">
        <v>1594</v>
      </c>
      <c r="L672" t="s">
        <v>1598</v>
      </c>
      <c r="M672" t="str">
        <f>IF(Table1[[#This Row],[Quantity]]&gt;2,"Bulk Order","Normal Order")</f>
        <v>Bulk Order</v>
      </c>
      <c r="N672" t="str">
        <f>_xlfn.CONCAT(Table1[[#This Row],[Category]],"-",Table1[[#This Row],[City]])</f>
        <v>Home-Kolkata</v>
      </c>
      <c r="O672" t="str">
        <f>LEFT(Table1[[#This Row],[Category]],3)</f>
        <v>Hom</v>
      </c>
      <c r="P672" s="2"/>
    </row>
    <row r="673" spans="1:16" x14ac:dyDescent="0.35">
      <c r="A673" t="s">
        <v>683</v>
      </c>
      <c r="B673" t="s">
        <v>1222</v>
      </c>
      <c r="C673" t="s">
        <v>1228</v>
      </c>
      <c r="D673">
        <v>3589</v>
      </c>
      <c r="E673">
        <v>1</v>
      </c>
      <c r="F673" t="s">
        <v>1277</v>
      </c>
      <c r="G673" t="s">
        <v>1585</v>
      </c>
      <c r="H673" t="s">
        <v>1590</v>
      </c>
      <c r="I673">
        <v>3589</v>
      </c>
      <c r="J673">
        <v>20</v>
      </c>
      <c r="K673" t="s">
        <v>1595</v>
      </c>
      <c r="L673" t="s">
        <v>1599</v>
      </c>
      <c r="M673" t="str">
        <f>IF(Table1[[#This Row],[Quantity]]&gt;2,"Bulk Order","Normal Order")</f>
        <v>Normal Order</v>
      </c>
      <c r="N673" t="str">
        <f>_xlfn.CONCAT(Table1[[#This Row],[Category]],"-",Table1[[#This Row],[City]])</f>
        <v>Electronics-Kolkata</v>
      </c>
      <c r="O673" t="str">
        <f>LEFT(Table1[[#This Row],[Category]],3)</f>
        <v>Ele</v>
      </c>
      <c r="P673" s="2"/>
    </row>
    <row r="674" spans="1:16" x14ac:dyDescent="0.35">
      <c r="A674" t="s">
        <v>684</v>
      </c>
      <c r="B674" t="s">
        <v>1220</v>
      </c>
      <c r="C674" t="s">
        <v>1224</v>
      </c>
      <c r="D674">
        <v>3321</v>
      </c>
      <c r="E674">
        <v>3</v>
      </c>
      <c r="F674" t="s">
        <v>1464</v>
      </c>
      <c r="G674" t="s">
        <v>1584</v>
      </c>
      <c r="H674" t="s">
        <v>1592</v>
      </c>
      <c r="I674">
        <v>9963</v>
      </c>
      <c r="J674">
        <v>43</v>
      </c>
      <c r="K674" t="s">
        <v>1595</v>
      </c>
      <c r="L674" t="s">
        <v>1599</v>
      </c>
      <c r="M674" t="str">
        <f>IF(Table1[[#This Row],[Quantity]]&gt;2,"Bulk Order","Normal Order")</f>
        <v>Bulk Order</v>
      </c>
      <c r="N674" t="str">
        <f>_xlfn.CONCAT(Table1[[#This Row],[Category]],"-",Table1[[#This Row],[City]])</f>
        <v>Lifestyle-Chennai</v>
      </c>
      <c r="O674" t="str">
        <f>LEFT(Table1[[#This Row],[Category]],3)</f>
        <v>Lif</v>
      </c>
      <c r="P674" s="2"/>
    </row>
    <row r="675" spans="1:16" x14ac:dyDescent="0.35">
      <c r="A675" t="s">
        <v>685</v>
      </c>
      <c r="B675" t="s">
        <v>1217</v>
      </c>
      <c r="C675" t="s">
        <v>1228</v>
      </c>
      <c r="D675">
        <v>1825</v>
      </c>
      <c r="E675">
        <v>1</v>
      </c>
      <c r="F675" t="s">
        <v>1316</v>
      </c>
      <c r="G675" t="s">
        <v>1589</v>
      </c>
      <c r="H675" t="s">
        <v>1590</v>
      </c>
      <c r="I675">
        <v>1825</v>
      </c>
      <c r="J675">
        <v>58</v>
      </c>
      <c r="K675" t="s">
        <v>1594</v>
      </c>
      <c r="L675" t="s">
        <v>1599</v>
      </c>
      <c r="M675" t="str">
        <f>IF(Table1[[#This Row],[Quantity]]&gt;2,"Bulk Order","Normal Order")</f>
        <v>Normal Order</v>
      </c>
      <c r="N675" t="str">
        <f>_xlfn.CONCAT(Table1[[#This Row],[Category]],"-",Table1[[#This Row],[City]])</f>
        <v>Electronics-Bangalore</v>
      </c>
      <c r="O675" t="str">
        <f>LEFT(Table1[[#This Row],[Category]],3)</f>
        <v>Ele</v>
      </c>
      <c r="P675" s="2"/>
    </row>
    <row r="676" spans="1:16" x14ac:dyDescent="0.35">
      <c r="A676" t="s">
        <v>686</v>
      </c>
      <c r="B676" t="s">
        <v>1214</v>
      </c>
      <c r="C676" t="s">
        <v>1226</v>
      </c>
      <c r="D676">
        <v>3062</v>
      </c>
      <c r="E676">
        <v>1</v>
      </c>
      <c r="F676" t="s">
        <v>1509</v>
      </c>
      <c r="G676" t="s">
        <v>1585</v>
      </c>
      <c r="H676" t="s">
        <v>1590</v>
      </c>
      <c r="I676">
        <v>3062</v>
      </c>
      <c r="J676">
        <v>71</v>
      </c>
      <c r="K676" t="s">
        <v>1595</v>
      </c>
      <c r="L676" t="s">
        <v>1598</v>
      </c>
      <c r="M676" t="str">
        <f>IF(Table1[[#This Row],[Quantity]]&gt;2,"Bulk Order","Normal Order")</f>
        <v>Normal Order</v>
      </c>
      <c r="N676" t="str">
        <f>_xlfn.CONCAT(Table1[[#This Row],[Category]],"-",Table1[[#This Row],[City]])</f>
        <v>Home-Kolkata</v>
      </c>
      <c r="O676" t="str">
        <f>LEFT(Table1[[#This Row],[Category]],3)</f>
        <v>Hom</v>
      </c>
      <c r="P676" s="2"/>
    </row>
    <row r="677" spans="1:16" x14ac:dyDescent="0.35">
      <c r="A677" t="s">
        <v>687</v>
      </c>
      <c r="B677" t="s">
        <v>1220</v>
      </c>
      <c r="C677" t="s">
        <v>1227</v>
      </c>
      <c r="D677">
        <v>385</v>
      </c>
      <c r="E677">
        <v>3</v>
      </c>
      <c r="F677" t="s">
        <v>1424</v>
      </c>
      <c r="G677" t="s">
        <v>1585</v>
      </c>
      <c r="H677" t="s">
        <v>1590</v>
      </c>
      <c r="I677">
        <v>1155</v>
      </c>
      <c r="J677">
        <v>60</v>
      </c>
      <c r="K677" t="s">
        <v>1594</v>
      </c>
      <c r="L677" t="s">
        <v>1597</v>
      </c>
      <c r="M677" t="str">
        <f>IF(Table1[[#This Row],[Quantity]]&gt;2,"Bulk Order","Normal Order")</f>
        <v>Bulk Order</v>
      </c>
      <c r="N677" t="str">
        <f>_xlfn.CONCAT(Table1[[#This Row],[Category]],"-",Table1[[#This Row],[City]])</f>
        <v>Accessories-Kolkata</v>
      </c>
      <c r="O677" t="str">
        <f>LEFT(Table1[[#This Row],[Category]],3)</f>
        <v>Acc</v>
      </c>
      <c r="P677" s="2"/>
    </row>
    <row r="678" spans="1:16" x14ac:dyDescent="0.35">
      <c r="A678" t="s">
        <v>688</v>
      </c>
      <c r="B678" t="s">
        <v>1212</v>
      </c>
      <c r="C678" t="s">
        <v>1228</v>
      </c>
      <c r="D678">
        <v>4531</v>
      </c>
      <c r="E678">
        <v>3</v>
      </c>
      <c r="F678" t="s">
        <v>1539</v>
      </c>
      <c r="G678" t="s">
        <v>1585</v>
      </c>
      <c r="H678" t="s">
        <v>1593</v>
      </c>
      <c r="I678">
        <v>13593</v>
      </c>
      <c r="J678">
        <v>68</v>
      </c>
      <c r="K678" t="s">
        <v>1595</v>
      </c>
      <c r="L678" t="s">
        <v>1599</v>
      </c>
      <c r="M678" t="str">
        <f>IF(Table1[[#This Row],[Quantity]]&gt;2,"Bulk Order","Normal Order")</f>
        <v>Bulk Order</v>
      </c>
      <c r="N678" t="str">
        <f>_xlfn.CONCAT(Table1[[#This Row],[Category]],"-",Table1[[#This Row],[City]])</f>
        <v>Electronics-Kolkata</v>
      </c>
      <c r="O678" t="str">
        <f>LEFT(Table1[[#This Row],[Category]],3)</f>
        <v>Ele</v>
      </c>
      <c r="P678" s="2"/>
    </row>
    <row r="679" spans="1:16" x14ac:dyDescent="0.35">
      <c r="A679" t="s">
        <v>689</v>
      </c>
      <c r="B679" t="s">
        <v>1217</v>
      </c>
      <c r="C679" t="s">
        <v>1226</v>
      </c>
      <c r="D679">
        <v>4575</v>
      </c>
      <c r="E679">
        <v>2</v>
      </c>
      <c r="F679" t="s">
        <v>1544</v>
      </c>
      <c r="G679" t="s">
        <v>1589</v>
      </c>
      <c r="H679" t="s">
        <v>1591</v>
      </c>
      <c r="I679">
        <v>9150</v>
      </c>
      <c r="J679">
        <v>25</v>
      </c>
      <c r="K679" t="s">
        <v>1595</v>
      </c>
      <c r="L679" t="s">
        <v>1599</v>
      </c>
      <c r="M679" t="str">
        <f>IF(Table1[[#This Row],[Quantity]]&gt;2,"Bulk Order","Normal Order")</f>
        <v>Normal Order</v>
      </c>
      <c r="N679" t="str">
        <f>_xlfn.CONCAT(Table1[[#This Row],[Category]],"-",Table1[[#This Row],[City]])</f>
        <v>Home-Bangalore</v>
      </c>
      <c r="O679" t="str">
        <f>LEFT(Table1[[#This Row],[Category]],3)</f>
        <v>Hom</v>
      </c>
      <c r="P679" s="2"/>
    </row>
    <row r="680" spans="1:16" x14ac:dyDescent="0.35">
      <c r="A680" t="s">
        <v>690</v>
      </c>
      <c r="B680" t="s">
        <v>1223</v>
      </c>
      <c r="C680" t="s">
        <v>1224</v>
      </c>
      <c r="D680">
        <v>2904</v>
      </c>
      <c r="E680">
        <v>3</v>
      </c>
      <c r="F680" t="s">
        <v>1541</v>
      </c>
      <c r="G680" t="s">
        <v>1588</v>
      </c>
      <c r="H680" t="s">
        <v>1593</v>
      </c>
      <c r="I680">
        <v>8712</v>
      </c>
      <c r="J680">
        <v>97</v>
      </c>
      <c r="K680" t="s">
        <v>1594</v>
      </c>
      <c r="L680" t="s">
        <v>1599</v>
      </c>
      <c r="M680" t="str">
        <f>IF(Table1[[#This Row],[Quantity]]&gt;2,"Bulk Order","Normal Order")</f>
        <v>Bulk Order</v>
      </c>
      <c r="N680" t="str">
        <f>_xlfn.CONCAT(Table1[[#This Row],[Category]],"-",Table1[[#This Row],[City]])</f>
        <v>Lifestyle-Delhi</v>
      </c>
      <c r="O680" t="str">
        <f>LEFT(Table1[[#This Row],[Category]],3)</f>
        <v>Lif</v>
      </c>
      <c r="P680" s="2"/>
    </row>
    <row r="681" spans="1:16" x14ac:dyDescent="0.35">
      <c r="A681" t="s">
        <v>691</v>
      </c>
      <c r="B681" t="s">
        <v>1220</v>
      </c>
      <c r="C681" t="s">
        <v>1228</v>
      </c>
      <c r="D681">
        <v>2112</v>
      </c>
      <c r="E681">
        <v>1</v>
      </c>
      <c r="F681" t="s">
        <v>1283</v>
      </c>
      <c r="G681" t="s">
        <v>1584</v>
      </c>
      <c r="H681" t="s">
        <v>1593</v>
      </c>
      <c r="I681">
        <v>2112</v>
      </c>
      <c r="J681">
        <v>42</v>
      </c>
      <c r="K681" t="s">
        <v>1595</v>
      </c>
      <c r="L681" t="s">
        <v>1597</v>
      </c>
      <c r="M681" t="str">
        <f>IF(Table1[[#This Row],[Quantity]]&gt;2,"Bulk Order","Normal Order")</f>
        <v>Normal Order</v>
      </c>
      <c r="N681" t="str">
        <f>_xlfn.CONCAT(Table1[[#This Row],[Category]],"-",Table1[[#This Row],[City]])</f>
        <v>Electronics-Chennai</v>
      </c>
      <c r="O681" t="str">
        <f>LEFT(Table1[[#This Row],[Category]],3)</f>
        <v>Ele</v>
      </c>
      <c r="P681" s="2"/>
    </row>
    <row r="682" spans="1:16" x14ac:dyDescent="0.35">
      <c r="A682" t="s">
        <v>692</v>
      </c>
      <c r="B682" t="s">
        <v>1219</v>
      </c>
      <c r="C682" t="s">
        <v>1228</v>
      </c>
      <c r="D682">
        <v>3553</v>
      </c>
      <c r="E682">
        <v>4</v>
      </c>
      <c r="F682" t="s">
        <v>1372</v>
      </c>
      <c r="G682" t="s">
        <v>1589</v>
      </c>
      <c r="H682" t="s">
        <v>1590</v>
      </c>
      <c r="I682">
        <v>14212</v>
      </c>
      <c r="J682">
        <v>34</v>
      </c>
      <c r="K682" t="s">
        <v>1596</v>
      </c>
      <c r="L682" t="s">
        <v>1598</v>
      </c>
      <c r="M682" t="str">
        <f>IF(Table1[[#This Row],[Quantity]]&gt;2,"Bulk Order","Normal Order")</f>
        <v>Bulk Order</v>
      </c>
      <c r="N682" t="str">
        <f>_xlfn.CONCAT(Table1[[#This Row],[Category]],"-",Table1[[#This Row],[City]])</f>
        <v>Electronics-Bangalore</v>
      </c>
      <c r="O682" t="str">
        <f>LEFT(Table1[[#This Row],[Category]],3)</f>
        <v>Ele</v>
      </c>
      <c r="P682" s="2"/>
    </row>
    <row r="683" spans="1:16" x14ac:dyDescent="0.35">
      <c r="A683" t="s">
        <v>693</v>
      </c>
      <c r="B683" t="s">
        <v>1212</v>
      </c>
      <c r="C683" t="s">
        <v>1224</v>
      </c>
      <c r="D683">
        <v>3818</v>
      </c>
      <c r="E683">
        <v>4</v>
      </c>
      <c r="F683" t="s">
        <v>1290</v>
      </c>
      <c r="G683" t="s">
        <v>1586</v>
      </c>
      <c r="H683" t="s">
        <v>1593</v>
      </c>
      <c r="I683">
        <v>15272</v>
      </c>
      <c r="J683">
        <v>92</v>
      </c>
      <c r="K683" t="s">
        <v>1594</v>
      </c>
      <c r="L683" t="s">
        <v>1599</v>
      </c>
      <c r="M683" t="str">
        <f>IF(Table1[[#This Row],[Quantity]]&gt;2,"Bulk Order","Normal Order")</f>
        <v>Bulk Order</v>
      </c>
      <c r="N683" t="str">
        <f>_xlfn.CONCAT(Table1[[#This Row],[Category]],"-",Table1[[#This Row],[City]])</f>
        <v>Lifestyle-Hyderabad</v>
      </c>
      <c r="O683" t="str">
        <f>LEFT(Table1[[#This Row],[Category]],3)</f>
        <v>Lif</v>
      </c>
      <c r="P683" s="2"/>
    </row>
    <row r="684" spans="1:16" x14ac:dyDescent="0.35">
      <c r="A684" t="s">
        <v>694</v>
      </c>
      <c r="B684" t="s">
        <v>1218</v>
      </c>
      <c r="C684" t="s">
        <v>1228</v>
      </c>
      <c r="D684">
        <v>4847</v>
      </c>
      <c r="E684">
        <v>3</v>
      </c>
      <c r="F684" t="s">
        <v>1545</v>
      </c>
      <c r="G684" t="s">
        <v>1587</v>
      </c>
      <c r="H684" t="s">
        <v>1593</v>
      </c>
      <c r="I684">
        <v>14541</v>
      </c>
      <c r="J684">
        <v>46</v>
      </c>
      <c r="K684" t="s">
        <v>1595</v>
      </c>
      <c r="L684" t="s">
        <v>1598</v>
      </c>
      <c r="M684" t="str">
        <f>IF(Table1[[#This Row],[Quantity]]&gt;2,"Bulk Order","Normal Order")</f>
        <v>Bulk Order</v>
      </c>
      <c r="N684" t="str">
        <f>_xlfn.CONCAT(Table1[[#This Row],[Category]],"-",Table1[[#This Row],[City]])</f>
        <v>Electronics-Mumbai</v>
      </c>
      <c r="O684" t="str">
        <f>LEFT(Table1[[#This Row],[Category]],3)</f>
        <v>Ele</v>
      </c>
      <c r="P684" s="2"/>
    </row>
    <row r="685" spans="1:16" x14ac:dyDescent="0.35">
      <c r="A685" t="s">
        <v>695</v>
      </c>
      <c r="B685" t="s">
        <v>1222</v>
      </c>
      <c r="C685" t="s">
        <v>1224</v>
      </c>
      <c r="D685">
        <v>3141</v>
      </c>
      <c r="E685">
        <v>1</v>
      </c>
      <c r="F685" t="s">
        <v>1419</v>
      </c>
      <c r="G685" t="s">
        <v>1584</v>
      </c>
      <c r="H685" t="s">
        <v>1590</v>
      </c>
      <c r="I685">
        <v>3141</v>
      </c>
      <c r="J685">
        <v>98</v>
      </c>
      <c r="K685" t="s">
        <v>1596</v>
      </c>
      <c r="L685" t="s">
        <v>1598</v>
      </c>
      <c r="M685" t="str">
        <f>IF(Table1[[#This Row],[Quantity]]&gt;2,"Bulk Order","Normal Order")</f>
        <v>Normal Order</v>
      </c>
      <c r="N685" t="str">
        <f>_xlfn.CONCAT(Table1[[#This Row],[Category]],"-",Table1[[#This Row],[City]])</f>
        <v>Lifestyle-Chennai</v>
      </c>
      <c r="O685" t="str">
        <f>LEFT(Table1[[#This Row],[Category]],3)</f>
        <v>Lif</v>
      </c>
      <c r="P685" s="2"/>
    </row>
    <row r="686" spans="1:16" x14ac:dyDescent="0.35">
      <c r="A686" t="s">
        <v>696</v>
      </c>
      <c r="B686" t="s">
        <v>1217</v>
      </c>
      <c r="C686" t="s">
        <v>1226</v>
      </c>
      <c r="D686">
        <v>1621</v>
      </c>
      <c r="E686">
        <v>2</v>
      </c>
      <c r="F686" t="s">
        <v>1438</v>
      </c>
      <c r="G686" t="s">
        <v>1585</v>
      </c>
      <c r="H686" t="s">
        <v>1590</v>
      </c>
      <c r="I686">
        <v>3242</v>
      </c>
      <c r="J686">
        <v>45</v>
      </c>
      <c r="K686" t="s">
        <v>1595</v>
      </c>
      <c r="L686" t="s">
        <v>1598</v>
      </c>
      <c r="M686" t="str">
        <f>IF(Table1[[#This Row],[Quantity]]&gt;2,"Bulk Order","Normal Order")</f>
        <v>Normal Order</v>
      </c>
      <c r="N686" t="str">
        <f>_xlfn.CONCAT(Table1[[#This Row],[Category]],"-",Table1[[#This Row],[City]])</f>
        <v>Home-Kolkata</v>
      </c>
      <c r="O686" t="str">
        <f>LEFT(Table1[[#This Row],[Category]],3)</f>
        <v>Hom</v>
      </c>
      <c r="P686" s="2"/>
    </row>
    <row r="687" spans="1:16" x14ac:dyDescent="0.35">
      <c r="A687" t="s">
        <v>697</v>
      </c>
      <c r="B687" t="s">
        <v>1217</v>
      </c>
      <c r="C687" t="s">
        <v>1224</v>
      </c>
      <c r="D687">
        <v>2966</v>
      </c>
      <c r="E687">
        <v>1</v>
      </c>
      <c r="F687" t="s">
        <v>1467</v>
      </c>
      <c r="G687" t="s">
        <v>1585</v>
      </c>
      <c r="H687" t="s">
        <v>1592</v>
      </c>
      <c r="I687">
        <v>2966</v>
      </c>
      <c r="J687">
        <v>20</v>
      </c>
      <c r="K687" t="s">
        <v>1596</v>
      </c>
      <c r="L687" t="s">
        <v>1597</v>
      </c>
      <c r="M687" t="str">
        <f>IF(Table1[[#This Row],[Quantity]]&gt;2,"Bulk Order","Normal Order")</f>
        <v>Normal Order</v>
      </c>
      <c r="N687" t="str">
        <f>_xlfn.CONCAT(Table1[[#This Row],[Category]],"-",Table1[[#This Row],[City]])</f>
        <v>Lifestyle-Kolkata</v>
      </c>
      <c r="O687" t="str">
        <f>LEFT(Table1[[#This Row],[Category]],3)</f>
        <v>Lif</v>
      </c>
      <c r="P687" s="2"/>
    </row>
    <row r="688" spans="1:16" x14ac:dyDescent="0.35">
      <c r="A688" t="s">
        <v>698</v>
      </c>
      <c r="B688" t="s">
        <v>1222</v>
      </c>
      <c r="C688" t="s">
        <v>1224</v>
      </c>
      <c r="D688">
        <v>3419</v>
      </c>
      <c r="E688">
        <v>3</v>
      </c>
      <c r="F688" t="s">
        <v>1367</v>
      </c>
      <c r="G688" t="s">
        <v>1586</v>
      </c>
      <c r="H688" t="s">
        <v>1592</v>
      </c>
      <c r="I688">
        <v>10257</v>
      </c>
      <c r="J688">
        <v>78</v>
      </c>
      <c r="K688" t="s">
        <v>1596</v>
      </c>
      <c r="L688" t="s">
        <v>1597</v>
      </c>
      <c r="M688" t="str">
        <f>IF(Table1[[#This Row],[Quantity]]&gt;2,"Bulk Order","Normal Order")</f>
        <v>Bulk Order</v>
      </c>
      <c r="N688" t="str">
        <f>_xlfn.CONCAT(Table1[[#This Row],[Category]],"-",Table1[[#This Row],[City]])</f>
        <v>Lifestyle-Hyderabad</v>
      </c>
      <c r="O688" t="str">
        <f>LEFT(Table1[[#This Row],[Category]],3)</f>
        <v>Lif</v>
      </c>
      <c r="P688" s="2"/>
    </row>
    <row r="689" spans="1:16" x14ac:dyDescent="0.35">
      <c r="A689" t="s">
        <v>699</v>
      </c>
      <c r="B689" t="s">
        <v>1212</v>
      </c>
      <c r="C689" t="s">
        <v>1226</v>
      </c>
      <c r="D689">
        <v>2460</v>
      </c>
      <c r="E689">
        <v>2</v>
      </c>
      <c r="F689" t="s">
        <v>1421</v>
      </c>
      <c r="G689" t="s">
        <v>1587</v>
      </c>
      <c r="H689" t="s">
        <v>1591</v>
      </c>
      <c r="I689">
        <v>4920</v>
      </c>
      <c r="J689">
        <v>100</v>
      </c>
      <c r="K689" t="s">
        <v>1595</v>
      </c>
      <c r="L689" t="s">
        <v>1599</v>
      </c>
      <c r="M689" t="str">
        <f>IF(Table1[[#This Row],[Quantity]]&gt;2,"Bulk Order","Normal Order")</f>
        <v>Normal Order</v>
      </c>
      <c r="N689" t="str">
        <f>_xlfn.CONCAT(Table1[[#This Row],[Category]],"-",Table1[[#This Row],[City]])</f>
        <v>Home-Mumbai</v>
      </c>
      <c r="O689" t="str">
        <f>LEFT(Table1[[#This Row],[Category]],3)</f>
        <v>Hom</v>
      </c>
      <c r="P689" s="2"/>
    </row>
    <row r="690" spans="1:16" x14ac:dyDescent="0.35">
      <c r="A690" t="s">
        <v>700</v>
      </c>
      <c r="B690" t="s">
        <v>1212</v>
      </c>
      <c r="C690" t="s">
        <v>1225</v>
      </c>
      <c r="D690">
        <v>2387</v>
      </c>
      <c r="E690">
        <v>3</v>
      </c>
      <c r="F690" t="s">
        <v>1374</v>
      </c>
      <c r="G690" t="s">
        <v>1586</v>
      </c>
      <c r="H690" t="s">
        <v>1591</v>
      </c>
      <c r="I690">
        <v>7161</v>
      </c>
      <c r="J690">
        <v>94</v>
      </c>
      <c r="K690" t="s">
        <v>1595</v>
      </c>
      <c r="L690" t="s">
        <v>1599</v>
      </c>
      <c r="M690" t="str">
        <f>IF(Table1[[#This Row],[Quantity]]&gt;2,"Bulk Order","Normal Order")</f>
        <v>Bulk Order</v>
      </c>
      <c r="N690" t="str">
        <f>_xlfn.CONCAT(Table1[[#This Row],[Category]],"-",Table1[[#This Row],[City]])</f>
        <v>Fitness-Hyderabad</v>
      </c>
      <c r="O690" t="str">
        <f>LEFT(Table1[[#This Row],[Category]],3)</f>
        <v>Fit</v>
      </c>
      <c r="P690" s="2"/>
    </row>
    <row r="691" spans="1:16" x14ac:dyDescent="0.35">
      <c r="A691" t="s">
        <v>701</v>
      </c>
      <c r="B691" t="s">
        <v>1218</v>
      </c>
      <c r="C691" t="s">
        <v>1228</v>
      </c>
      <c r="D691">
        <v>4956</v>
      </c>
      <c r="E691">
        <v>4</v>
      </c>
      <c r="F691" t="s">
        <v>1546</v>
      </c>
      <c r="G691" t="s">
        <v>1584</v>
      </c>
      <c r="H691" t="s">
        <v>1592</v>
      </c>
      <c r="I691">
        <v>19824</v>
      </c>
      <c r="J691">
        <v>26</v>
      </c>
      <c r="K691" t="s">
        <v>1594</v>
      </c>
      <c r="L691" t="s">
        <v>1597</v>
      </c>
      <c r="M691" t="str">
        <f>IF(Table1[[#This Row],[Quantity]]&gt;2,"Bulk Order","Normal Order")</f>
        <v>Bulk Order</v>
      </c>
      <c r="N691" t="str">
        <f>_xlfn.CONCAT(Table1[[#This Row],[Category]],"-",Table1[[#This Row],[City]])</f>
        <v>Electronics-Chennai</v>
      </c>
      <c r="O691" t="str">
        <f>LEFT(Table1[[#This Row],[Category]],3)</f>
        <v>Ele</v>
      </c>
      <c r="P691" s="2"/>
    </row>
    <row r="692" spans="1:16" x14ac:dyDescent="0.35">
      <c r="A692" t="s">
        <v>702</v>
      </c>
      <c r="B692" t="s">
        <v>1213</v>
      </c>
      <c r="C692" t="s">
        <v>1228</v>
      </c>
      <c r="D692">
        <v>3420</v>
      </c>
      <c r="E692">
        <v>2</v>
      </c>
      <c r="F692" t="s">
        <v>1489</v>
      </c>
      <c r="G692" t="s">
        <v>1584</v>
      </c>
      <c r="H692" t="s">
        <v>1592</v>
      </c>
      <c r="I692">
        <v>6840</v>
      </c>
      <c r="J692">
        <v>50</v>
      </c>
      <c r="K692" t="s">
        <v>1595</v>
      </c>
      <c r="L692" t="s">
        <v>1599</v>
      </c>
      <c r="M692" t="str">
        <f>IF(Table1[[#This Row],[Quantity]]&gt;2,"Bulk Order","Normal Order")</f>
        <v>Normal Order</v>
      </c>
      <c r="N692" t="str">
        <f>_xlfn.CONCAT(Table1[[#This Row],[Category]],"-",Table1[[#This Row],[City]])</f>
        <v>Electronics-Chennai</v>
      </c>
      <c r="O692" t="str">
        <f>LEFT(Table1[[#This Row],[Category]],3)</f>
        <v>Ele</v>
      </c>
      <c r="P692" s="2"/>
    </row>
    <row r="693" spans="1:16" x14ac:dyDescent="0.35">
      <c r="A693" t="s">
        <v>703</v>
      </c>
      <c r="B693" t="s">
        <v>1219</v>
      </c>
      <c r="C693" t="s">
        <v>1224</v>
      </c>
      <c r="D693">
        <v>2953</v>
      </c>
      <c r="E693">
        <v>4</v>
      </c>
      <c r="F693" t="s">
        <v>1247</v>
      </c>
      <c r="G693" t="s">
        <v>1584</v>
      </c>
      <c r="H693" t="s">
        <v>1590</v>
      </c>
      <c r="I693">
        <v>11812</v>
      </c>
      <c r="J693">
        <v>48</v>
      </c>
      <c r="K693" t="s">
        <v>1595</v>
      </c>
      <c r="L693" t="s">
        <v>1599</v>
      </c>
      <c r="M693" t="str">
        <f>IF(Table1[[#This Row],[Quantity]]&gt;2,"Bulk Order","Normal Order")</f>
        <v>Bulk Order</v>
      </c>
      <c r="N693" t="str">
        <f>_xlfn.CONCAT(Table1[[#This Row],[Category]],"-",Table1[[#This Row],[City]])</f>
        <v>Lifestyle-Chennai</v>
      </c>
      <c r="O693" t="str">
        <f>LEFT(Table1[[#This Row],[Category]],3)</f>
        <v>Lif</v>
      </c>
      <c r="P693" s="2"/>
    </row>
    <row r="694" spans="1:16" x14ac:dyDescent="0.35">
      <c r="A694" t="s">
        <v>704</v>
      </c>
      <c r="B694" t="s">
        <v>1222</v>
      </c>
      <c r="C694" t="s">
        <v>1225</v>
      </c>
      <c r="D694">
        <v>4115</v>
      </c>
      <c r="E694">
        <v>2</v>
      </c>
      <c r="F694" t="s">
        <v>1293</v>
      </c>
      <c r="G694" t="s">
        <v>1587</v>
      </c>
      <c r="H694" t="s">
        <v>1593</v>
      </c>
      <c r="I694">
        <v>8230</v>
      </c>
      <c r="J694">
        <v>32</v>
      </c>
      <c r="K694" t="s">
        <v>1596</v>
      </c>
      <c r="L694" t="s">
        <v>1597</v>
      </c>
      <c r="M694" t="str">
        <f>IF(Table1[[#This Row],[Quantity]]&gt;2,"Bulk Order","Normal Order")</f>
        <v>Normal Order</v>
      </c>
      <c r="N694" t="str">
        <f>_xlfn.CONCAT(Table1[[#This Row],[Category]],"-",Table1[[#This Row],[City]])</f>
        <v>Fitness-Mumbai</v>
      </c>
      <c r="O694" t="str">
        <f>LEFT(Table1[[#This Row],[Category]],3)</f>
        <v>Fit</v>
      </c>
      <c r="P694" s="2"/>
    </row>
    <row r="695" spans="1:16" x14ac:dyDescent="0.35">
      <c r="A695" t="s">
        <v>705</v>
      </c>
      <c r="B695" t="s">
        <v>1214</v>
      </c>
      <c r="C695" t="s">
        <v>1226</v>
      </c>
      <c r="D695">
        <v>4508</v>
      </c>
      <c r="E695">
        <v>4</v>
      </c>
      <c r="F695" t="s">
        <v>1547</v>
      </c>
      <c r="G695" t="s">
        <v>1585</v>
      </c>
      <c r="H695" t="s">
        <v>1591</v>
      </c>
      <c r="I695">
        <v>18032</v>
      </c>
      <c r="J695">
        <v>67</v>
      </c>
      <c r="K695" t="s">
        <v>1595</v>
      </c>
      <c r="L695" t="s">
        <v>1597</v>
      </c>
      <c r="M695" t="str">
        <f>IF(Table1[[#This Row],[Quantity]]&gt;2,"Bulk Order","Normal Order")</f>
        <v>Bulk Order</v>
      </c>
      <c r="N695" t="str">
        <f>_xlfn.CONCAT(Table1[[#This Row],[Category]],"-",Table1[[#This Row],[City]])</f>
        <v>Home-Kolkata</v>
      </c>
      <c r="O695" t="str">
        <f>LEFT(Table1[[#This Row],[Category]],3)</f>
        <v>Hom</v>
      </c>
      <c r="P695" s="2"/>
    </row>
    <row r="696" spans="1:16" x14ac:dyDescent="0.35">
      <c r="A696" t="s">
        <v>706</v>
      </c>
      <c r="B696" t="s">
        <v>1214</v>
      </c>
      <c r="C696" t="s">
        <v>1224</v>
      </c>
      <c r="D696">
        <v>4852</v>
      </c>
      <c r="E696">
        <v>3</v>
      </c>
      <c r="F696" t="s">
        <v>1548</v>
      </c>
      <c r="G696" t="s">
        <v>1585</v>
      </c>
      <c r="H696" t="s">
        <v>1593</v>
      </c>
      <c r="I696">
        <v>14556</v>
      </c>
      <c r="J696">
        <v>76</v>
      </c>
      <c r="K696" t="s">
        <v>1595</v>
      </c>
      <c r="L696" t="s">
        <v>1598</v>
      </c>
      <c r="M696" t="str">
        <f>IF(Table1[[#This Row],[Quantity]]&gt;2,"Bulk Order","Normal Order")</f>
        <v>Bulk Order</v>
      </c>
      <c r="N696" t="str">
        <f>_xlfn.CONCAT(Table1[[#This Row],[Category]],"-",Table1[[#This Row],[City]])</f>
        <v>Lifestyle-Kolkata</v>
      </c>
      <c r="O696" t="str">
        <f>LEFT(Table1[[#This Row],[Category]],3)</f>
        <v>Lif</v>
      </c>
      <c r="P696" s="2"/>
    </row>
    <row r="697" spans="1:16" x14ac:dyDescent="0.35">
      <c r="A697" t="s">
        <v>707</v>
      </c>
      <c r="B697" t="s">
        <v>1212</v>
      </c>
      <c r="C697" t="s">
        <v>1224</v>
      </c>
      <c r="D697">
        <v>1139</v>
      </c>
      <c r="E697">
        <v>1</v>
      </c>
      <c r="F697" t="s">
        <v>1546</v>
      </c>
      <c r="G697" t="s">
        <v>1588</v>
      </c>
      <c r="H697" t="s">
        <v>1593</v>
      </c>
      <c r="I697">
        <v>1139</v>
      </c>
      <c r="J697">
        <v>89</v>
      </c>
      <c r="K697" t="s">
        <v>1595</v>
      </c>
      <c r="L697" t="s">
        <v>1599</v>
      </c>
      <c r="M697" t="str">
        <f>IF(Table1[[#This Row],[Quantity]]&gt;2,"Bulk Order","Normal Order")</f>
        <v>Normal Order</v>
      </c>
      <c r="N697" t="str">
        <f>_xlfn.CONCAT(Table1[[#This Row],[Category]],"-",Table1[[#This Row],[City]])</f>
        <v>Lifestyle-Delhi</v>
      </c>
      <c r="O697" t="str">
        <f>LEFT(Table1[[#This Row],[Category]],3)</f>
        <v>Lif</v>
      </c>
      <c r="P697" s="2"/>
    </row>
    <row r="698" spans="1:16" x14ac:dyDescent="0.35">
      <c r="A698" t="s">
        <v>708</v>
      </c>
      <c r="B698" t="s">
        <v>1212</v>
      </c>
      <c r="C698" t="s">
        <v>1225</v>
      </c>
      <c r="D698">
        <v>3498</v>
      </c>
      <c r="E698">
        <v>4</v>
      </c>
      <c r="F698" t="s">
        <v>1232</v>
      </c>
      <c r="G698" t="s">
        <v>1588</v>
      </c>
      <c r="H698" t="s">
        <v>1590</v>
      </c>
      <c r="I698">
        <v>13992</v>
      </c>
      <c r="J698">
        <v>74</v>
      </c>
      <c r="K698" t="s">
        <v>1596</v>
      </c>
      <c r="L698" t="s">
        <v>1598</v>
      </c>
      <c r="M698" t="str">
        <f>IF(Table1[[#This Row],[Quantity]]&gt;2,"Bulk Order","Normal Order")</f>
        <v>Bulk Order</v>
      </c>
      <c r="N698" t="str">
        <f>_xlfn.CONCAT(Table1[[#This Row],[Category]],"-",Table1[[#This Row],[City]])</f>
        <v>Fitness-Delhi</v>
      </c>
      <c r="O698" t="str">
        <f>LEFT(Table1[[#This Row],[Category]],3)</f>
        <v>Fit</v>
      </c>
      <c r="P698" s="2"/>
    </row>
    <row r="699" spans="1:16" x14ac:dyDescent="0.35">
      <c r="A699" t="s">
        <v>709</v>
      </c>
      <c r="B699" t="s">
        <v>1219</v>
      </c>
      <c r="C699" t="s">
        <v>1225</v>
      </c>
      <c r="D699">
        <v>4107</v>
      </c>
      <c r="E699">
        <v>1</v>
      </c>
      <c r="F699" t="s">
        <v>1268</v>
      </c>
      <c r="G699" t="s">
        <v>1588</v>
      </c>
      <c r="H699" t="s">
        <v>1593</v>
      </c>
      <c r="I699">
        <v>4107</v>
      </c>
      <c r="J699">
        <v>58</v>
      </c>
      <c r="K699" t="s">
        <v>1595</v>
      </c>
      <c r="L699" t="s">
        <v>1598</v>
      </c>
      <c r="M699" t="str">
        <f>IF(Table1[[#This Row],[Quantity]]&gt;2,"Bulk Order","Normal Order")</f>
        <v>Normal Order</v>
      </c>
      <c r="N699" t="str">
        <f>_xlfn.CONCAT(Table1[[#This Row],[Category]],"-",Table1[[#This Row],[City]])</f>
        <v>Fitness-Delhi</v>
      </c>
      <c r="O699" t="str">
        <f>LEFT(Table1[[#This Row],[Category]],3)</f>
        <v>Fit</v>
      </c>
      <c r="P699" s="2"/>
    </row>
    <row r="700" spans="1:16" x14ac:dyDescent="0.35">
      <c r="A700" t="s">
        <v>710</v>
      </c>
      <c r="B700" t="s">
        <v>1221</v>
      </c>
      <c r="C700" t="s">
        <v>1227</v>
      </c>
      <c r="D700">
        <v>1039</v>
      </c>
      <c r="E700">
        <v>2</v>
      </c>
      <c r="F700" t="s">
        <v>1423</v>
      </c>
      <c r="G700" t="s">
        <v>1588</v>
      </c>
      <c r="H700" t="s">
        <v>1590</v>
      </c>
      <c r="I700">
        <v>2078</v>
      </c>
      <c r="J700">
        <v>20</v>
      </c>
      <c r="K700" t="s">
        <v>1595</v>
      </c>
      <c r="L700" t="s">
        <v>1598</v>
      </c>
      <c r="M700" t="str">
        <f>IF(Table1[[#This Row],[Quantity]]&gt;2,"Bulk Order","Normal Order")</f>
        <v>Normal Order</v>
      </c>
      <c r="N700" t="str">
        <f>_xlfn.CONCAT(Table1[[#This Row],[Category]],"-",Table1[[#This Row],[City]])</f>
        <v>Accessories-Delhi</v>
      </c>
      <c r="O700" t="str">
        <f>LEFT(Table1[[#This Row],[Category]],3)</f>
        <v>Acc</v>
      </c>
      <c r="P700" s="2"/>
    </row>
    <row r="701" spans="1:16" x14ac:dyDescent="0.35">
      <c r="A701" t="s">
        <v>711</v>
      </c>
      <c r="B701" t="s">
        <v>1219</v>
      </c>
      <c r="C701" t="s">
        <v>1225</v>
      </c>
      <c r="D701">
        <v>1317</v>
      </c>
      <c r="E701">
        <v>2</v>
      </c>
      <c r="F701" t="s">
        <v>1475</v>
      </c>
      <c r="G701" t="s">
        <v>1588</v>
      </c>
      <c r="H701" t="s">
        <v>1591</v>
      </c>
      <c r="I701">
        <v>2634</v>
      </c>
      <c r="J701">
        <v>98</v>
      </c>
      <c r="K701" t="s">
        <v>1595</v>
      </c>
      <c r="L701" t="s">
        <v>1598</v>
      </c>
      <c r="M701" t="str">
        <f>IF(Table1[[#This Row],[Quantity]]&gt;2,"Bulk Order","Normal Order")</f>
        <v>Normal Order</v>
      </c>
      <c r="N701" t="str">
        <f>_xlfn.CONCAT(Table1[[#This Row],[Category]],"-",Table1[[#This Row],[City]])</f>
        <v>Fitness-Delhi</v>
      </c>
      <c r="O701" t="str">
        <f>LEFT(Table1[[#This Row],[Category]],3)</f>
        <v>Fit</v>
      </c>
      <c r="P701" s="2"/>
    </row>
    <row r="702" spans="1:16" x14ac:dyDescent="0.35">
      <c r="A702" t="s">
        <v>712</v>
      </c>
      <c r="B702" t="s">
        <v>1222</v>
      </c>
      <c r="C702" t="s">
        <v>1228</v>
      </c>
      <c r="D702">
        <v>4555</v>
      </c>
      <c r="E702">
        <v>3</v>
      </c>
      <c r="F702" t="s">
        <v>1279</v>
      </c>
      <c r="G702" t="s">
        <v>1589</v>
      </c>
      <c r="H702" t="s">
        <v>1592</v>
      </c>
      <c r="I702">
        <v>13665</v>
      </c>
      <c r="J702">
        <v>27</v>
      </c>
      <c r="K702" t="s">
        <v>1595</v>
      </c>
      <c r="L702" t="s">
        <v>1598</v>
      </c>
      <c r="M702" t="str">
        <f>IF(Table1[[#This Row],[Quantity]]&gt;2,"Bulk Order","Normal Order")</f>
        <v>Bulk Order</v>
      </c>
      <c r="N702" t="str">
        <f>_xlfn.CONCAT(Table1[[#This Row],[Category]],"-",Table1[[#This Row],[City]])</f>
        <v>Electronics-Bangalore</v>
      </c>
      <c r="O702" t="str">
        <f>LEFT(Table1[[#This Row],[Category]],3)</f>
        <v>Ele</v>
      </c>
      <c r="P702" s="2"/>
    </row>
    <row r="703" spans="1:16" x14ac:dyDescent="0.35">
      <c r="A703" t="s">
        <v>713</v>
      </c>
      <c r="B703" t="s">
        <v>1220</v>
      </c>
      <c r="C703" t="s">
        <v>1228</v>
      </c>
      <c r="D703">
        <v>4018</v>
      </c>
      <c r="E703">
        <v>1</v>
      </c>
      <c r="F703" t="s">
        <v>1386</v>
      </c>
      <c r="G703" t="s">
        <v>1586</v>
      </c>
      <c r="H703" t="s">
        <v>1593</v>
      </c>
      <c r="I703">
        <v>4018</v>
      </c>
      <c r="J703">
        <v>34</v>
      </c>
      <c r="K703" t="s">
        <v>1595</v>
      </c>
      <c r="L703" t="s">
        <v>1597</v>
      </c>
      <c r="M703" t="str">
        <f>IF(Table1[[#This Row],[Quantity]]&gt;2,"Bulk Order","Normal Order")</f>
        <v>Normal Order</v>
      </c>
      <c r="N703" t="str">
        <f>_xlfn.CONCAT(Table1[[#This Row],[Category]],"-",Table1[[#This Row],[City]])</f>
        <v>Electronics-Hyderabad</v>
      </c>
      <c r="O703" t="str">
        <f>LEFT(Table1[[#This Row],[Category]],3)</f>
        <v>Ele</v>
      </c>
      <c r="P703" s="2"/>
    </row>
    <row r="704" spans="1:16" x14ac:dyDescent="0.35">
      <c r="A704" t="s">
        <v>714</v>
      </c>
      <c r="B704" t="s">
        <v>1222</v>
      </c>
      <c r="C704" t="s">
        <v>1227</v>
      </c>
      <c r="D704">
        <v>3951</v>
      </c>
      <c r="E704">
        <v>4</v>
      </c>
      <c r="F704" t="s">
        <v>1397</v>
      </c>
      <c r="G704" t="s">
        <v>1585</v>
      </c>
      <c r="H704" t="s">
        <v>1590</v>
      </c>
      <c r="I704">
        <v>15804</v>
      </c>
      <c r="J704">
        <v>43</v>
      </c>
      <c r="K704" t="s">
        <v>1596</v>
      </c>
      <c r="L704" t="s">
        <v>1599</v>
      </c>
      <c r="M704" t="str">
        <f>IF(Table1[[#This Row],[Quantity]]&gt;2,"Bulk Order","Normal Order")</f>
        <v>Bulk Order</v>
      </c>
      <c r="N704" t="str">
        <f>_xlfn.CONCAT(Table1[[#This Row],[Category]],"-",Table1[[#This Row],[City]])</f>
        <v>Accessories-Kolkata</v>
      </c>
      <c r="O704" t="str">
        <f>LEFT(Table1[[#This Row],[Category]],3)</f>
        <v>Acc</v>
      </c>
      <c r="P704" s="2"/>
    </row>
    <row r="705" spans="1:16" x14ac:dyDescent="0.35">
      <c r="A705" t="s">
        <v>715</v>
      </c>
      <c r="B705" t="s">
        <v>1217</v>
      </c>
      <c r="C705" t="s">
        <v>1225</v>
      </c>
      <c r="D705">
        <v>3872</v>
      </c>
      <c r="E705">
        <v>4</v>
      </c>
      <c r="F705" t="s">
        <v>1317</v>
      </c>
      <c r="G705" t="s">
        <v>1585</v>
      </c>
      <c r="H705" t="s">
        <v>1590</v>
      </c>
      <c r="I705">
        <v>15488</v>
      </c>
      <c r="J705">
        <v>82</v>
      </c>
      <c r="K705" t="s">
        <v>1595</v>
      </c>
      <c r="L705" t="s">
        <v>1598</v>
      </c>
      <c r="M705" t="str">
        <f>IF(Table1[[#This Row],[Quantity]]&gt;2,"Bulk Order","Normal Order")</f>
        <v>Bulk Order</v>
      </c>
      <c r="N705" t="str">
        <f>_xlfn.CONCAT(Table1[[#This Row],[Category]],"-",Table1[[#This Row],[City]])</f>
        <v>Fitness-Kolkata</v>
      </c>
      <c r="O705" t="str">
        <f>LEFT(Table1[[#This Row],[Category]],3)</f>
        <v>Fit</v>
      </c>
      <c r="P705" s="2"/>
    </row>
    <row r="706" spans="1:16" x14ac:dyDescent="0.35">
      <c r="A706" t="s">
        <v>716</v>
      </c>
      <c r="B706" t="s">
        <v>1214</v>
      </c>
      <c r="C706" t="s">
        <v>1228</v>
      </c>
      <c r="D706">
        <v>2541</v>
      </c>
      <c r="E706">
        <v>3</v>
      </c>
      <c r="F706" t="s">
        <v>1259</v>
      </c>
      <c r="G706" t="s">
        <v>1589</v>
      </c>
      <c r="H706" t="s">
        <v>1590</v>
      </c>
      <c r="I706">
        <v>7623</v>
      </c>
      <c r="J706">
        <v>30</v>
      </c>
      <c r="K706" t="s">
        <v>1594</v>
      </c>
      <c r="L706" t="s">
        <v>1598</v>
      </c>
      <c r="M706" t="str">
        <f>IF(Table1[[#This Row],[Quantity]]&gt;2,"Bulk Order","Normal Order")</f>
        <v>Bulk Order</v>
      </c>
      <c r="N706" t="str">
        <f>_xlfn.CONCAT(Table1[[#This Row],[Category]],"-",Table1[[#This Row],[City]])</f>
        <v>Electronics-Bangalore</v>
      </c>
      <c r="O706" t="str">
        <f>LEFT(Table1[[#This Row],[Category]],3)</f>
        <v>Ele</v>
      </c>
      <c r="P706" s="2"/>
    </row>
    <row r="707" spans="1:16" x14ac:dyDescent="0.35">
      <c r="A707" t="s">
        <v>717</v>
      </c>
      <c r="B707" t="s">
        <v>1223</v>
      </c>
      <c r="C707" t="s">
        <v>1228</v>
      </c>
      <c r="D707">
        <v>3649</v>
      </c>
      <c r="E707">
        <v>3</v>
      </c>
      <c r="F707" t="s">
        <v>1249</v>
      </c>
      <c r="G707" t="s">
        <v>1584</v>
      </c>
      <c r="H707" t="s">
        <v>1591</v>
      </c>
      <c r="I707">
        <v>10947</v>
      </c>
      <c r="J707">
        <v>31</v>
      </c>
      <c r="K707" t="s">
        <v>1595</v>
      </c>
      <c r="L707" t="s">
        <v>1599</v>
      </c>
      <c r="M707" t="str">
        <f>IF(Table1[[#This Row],[Quantity]]&gt;2,"Bulk Order","Normal Order")</f>
        <v>Bulk Order</v>
      </c>
      <c r="N707" t="str">
        <f>_xlfn.CONCAT(Table1[[#This Row],[Category]],"-",Table1[[#This Row],[City]])</f>
        <v>Electronics-Chennai</v>
      </c>
      <c r="O707" t="str">
        <f>LEFT(Table1[[#This Row],[Category]],3)</f>
        <v>Ele</v>
      </c>
      <c r="P707" s="2"/>
    </row>
    <row r="708" spans="1:16" x14ac:dyDescent="0.35">
      <c r="A708" t="s">
        <v>718</v>
      </c>
      <c r="B708" t="s">
        <v>1219</v>
      </c>
      <c r="C708" t="s">
        <v>1228</v>
      </c>
      <c r="D708">
        <v>1807</v>
      </c>
      <c r="E708">
        <v>2</v>
      </c>
      <c r="F708" t="s">
        <v>1370</v>
      </c>
      <c r="G708" t="s">
        <v>1586</v>
      </c>
      <c r="H708" t="s">
        <v>1592</v>
      </c>
      <c r="I708">
        <v>3614</v>
      </c>
      <c r="J708">
        <v>29</v>
      </c>
      <c r="K708" t="s">
        <v>1595</v>
      </c>
      <c r="L708" t="s">
        <v>1598</v>
      </c>
      <c r="M708" t="str">
        <f>IF(Table1[[#This Row],[Quantity]]&gt;2,"Bulk Order","Normal Order")</f>
        <v>Normal Order</v>
      </c>
      <c r="N708" t="str">
        <f>_xlfn.CONCAT(Table1[[#This Row],[Category]],"-",Table1[[#This Row],[City]])</f>
        <v>Electronics-Hyderabad</v>
      </c>
      <c r="O708" t="str">
        <f>LEFT(Table1[[#This Row],[Category]],3)</f>
        <v>Ele</v>
      </c>
      <c r="P708" s="2"/>
    </row>
    <row r="709" spans="1:16" x14ac:dyDescent="0.35">
      <c r="A709" t="s">
        <v>719</v>
      </c>
      <c r="B709" t="s">
        <v>1218</v>
      </c>
      <c r="C709" t="s">
        <v>1227</v>
      </c>
      <c r="D709">
        <v>2835</v>
      </c>
      <c r="E709">
        <v>1</v>
      </c>
      <c r="F709" t="s">
        <v>1549</v>
      </c>
      <c r="G709" t="s">
        <v>1585</v>
      </c>
      <c r="H709" t="s">
        <v>1590</v>
      </c>
      <c r="I709">
        <v>2835</v>
      </c>
      <c r="J709">
        <v>44</v>
      </c>
      <c r="K709" t="s">
        <v>1595</v>
      </c>
      <c r="L709" t="s">
        <v>1597</v>
      </c>
      <c r="M709" t="str">
        <f>IF(Table1[[#This Row],[Quantity]]&gt;2,"Bulk Order","Normal Order")</f>
        <v>Normal Order</v>
      </c>
      <c r="N709" t="str">
        <f>_xlfn.CONCAT(Table1[[#This Row],[Category]],"-",Table1[[#This Row],[City]])</f>
        <v>Accessories-Kolkata</v>
      </c>
      <c r="O709" t="str">
        <f>LEFT(Table1[[#This Row],[Category]],3)</f>
        <v>Acc</v>
      </c>
      <c r="P709" s="2"/>
    </row>
    <row r="710" spans="1:16" x14ac:dyDescent="0.35">
      <c r="A710" t="s">
        <v>720</v>
      </c>
      <c r="B710" t="s">
        <v>1223</v>
      </c>
      <c r="C710" t="s">
        <v>1227</v>
      </c>
      <c r="D710">
        <v>4843</v>
      </c>
      <c r="E710">
        <v>1</v>
      </c>
      <c r="F710" t="s">
        <v>1464</v>
      </c>
      <c r="G710" t="s">
        <v>1587</v>
      </c>
      <c r="H710" t="s">
        <v>1590</v>
      </c>
      <c r="I710">
        <v>4843</v>
      </c>
      <c r="J710">
        <v>99</v>
      </c>
      <c r="K710" t="s">
        <v>1595</v>
      </c>
      <c r="L710" t="s">
        <v>1599</v>
      </c>
      <c r="M710" t="str">
        <f>IF(Table1[[#This Row],[Quantity]]&gt;2,"Bulk Order","Normal Order")</f>
        <v>Normal Order</v>
      </c>
      <c r="N710" t="str">
        <f>_xlfn.CONCAT(Table1[[#This Row],[Category]],"-",Table1[[#This Row],[City]])</f>
        <v>Accessories-Mumbai</v>
      </c>
      <c r="O710" t="str">
        <f>LEFT(Table1[[#This Row],[Category]],3)</f>
        <v>Acc</v>
      </c>
      <c r="P710" s="2"/>
    </row>
    <row r="711" spans="1:16" x14ac:dyDescent="0.35">
      <c r="A711" t="s">
        <v>721</v>
      </c>
      <c r="B711" t="s">
        <v>1223</v>
      </c>
      <c r="C711" t="s">
        <v>1227</v>
      </c>
      <c r="D711">
        <v>4615</v>
      </c>
      <c r="E711">
        <v>4</v>
      </c>
      <c r="F711" t="s">
        <v>1368</v>
      </c>
      <c r="G711" t="s">
        <v>1588</v>
      </c>
      <c r="H711" t="s">
        <v>1592</v>
      </c>
      <c r="I711">
        <v>18460</v>
      </c>
      <c r="J711">
        <v>52</v>
      </c>
      <c r="K711" t="s">
        <v>1595</v>
      </c>
      <c r="L711" t="s">
        <v>1599</v>
      </c>
      <c r="M711" t="str">
        <f>IF(Table1[[#This Row],[Quantity]]&gt;2,"Bulk Order","Normal Order")</f>
        <v>Bulk Order</v>
      </c>
      <c r="N711" t="str">
        <f>_xlfn.CONCAT(Table1[[#This Row],[Category]],"-",Table1[[#This Row],[City]])</f>
        <v>Accessories-Delhi</v>
      </c>
      <c r="O711" t="str">
        <f>LEFT(Table1[[#This Row],[Category]],3)</f>
        <v>Acc</v>
      </c>
      <c r="P711" s="2"/>
    </row>
    <row r="712" spans="1:16" x14ac:dyDescent="0.35">
      <c r="A712" t="s">
        <v>722</v>
      </c>
      <c r="B712" t="s">
        <v>1221</v>
      </c>
      <c r="C712" t="s">
        <v>1225</v>
      </c>
      <c r="D712">
        <v>1106</v>
      </c>
      <c r="E712">
        <v>3</v>
      </c>
      <c r="F712" t="s">
        <v>1528</v>
      </c>
      <c r="G712" t="s">
        <v>1584</v>
      </c>
      <c r="H712" t="s">
        <v>1590</v>
      </c>
      <c r="I712">
        <v>3318</v>
      </c>
      <c r="J712">
        <v>43</v>
      </c>
      <c r="K712" t="s">
        <v>1595</v>
      </c>
      <c r="L712" t="s">
        <v>1599</v>
      </c>
      <c r="M712" t="str">
        <f>IF(Table1[[#This Row],[Quantity]]&gt;2,"Bulk Order","Normal Order")</f>
        <v>Bulk Order</v>
      </c>
      <c r="N712" t="str">
        <f>_xlfn.CONCAT(Table1[[#This Row],[Category]],"-",Table1[[#This Row],[City]])</f>
        <v>Fitness-Chennai</v>
      </c>
      <c r="O712" t="str">
        <f>LEFT(Table1[[#This Row],[Category]],3)</f>
        <v>Fit</v>
      </c>
      <c r="P712" s="2"/>
    </row>
    <row r="713" spans="1:16" x14ac:dyDescent="0.35">
      <c r="A713" t="s">
        <v>723</v>
      </c>
      <c r="B713" t="s">
        <v>1216</v>
      </c>
      <c r="C713" t="s">
        <v>1227</v>
      </c>
      <c r="D713">
        <v>3511</v>
      </c>
      <c r="E713">
        <v>3</v>
      </c>
      <c r="F713" t="s">
        <v>1237</v>
      </c>
      <c r="G713" t="s">
        <v>1588</v>
      </c>
      <c r="H713" t="s">
        <v>1590</v>
      </c>
      <c r="I713">
        <v>10533</v>
      </c>
      <c r="J713">
        <v>94</v>
      </c>
      <c r="K713" t="s">
        <v>1595</v>
      </c>
      <c r="L713" t="s">
        <v>1599</v>
      </c>
      <c r="M713" t="str">
        <f>IF(Table1[[#This Row],[Quantity]]&gt;2,"Bulk Order","Normal Order")</f>
        <v>Bulk Order</v>
      </c>
      <c r="N713" t="str">
        <f>_xlfn.CONCAT(Table1[[#This Row],[Category]],"-",Table1[[#This Row],[City]])</f>
        <v>Accessories-Delhi</v>
      </c>
      <c r="O713" t="str">
        <f>LEFT(Table1[[#This Row],[Category]],3)</f>
        <v>Acc</v>
      </c>
      <c r="P713" s="2"/>
    </row>
    <row r="714" spans="1:16" x14ac:dyDescent="0.35">
      <c r="A714" t="s">
        <v>724</v>
      </c>
      <c r="B714" t="s">
        <v>1213</v>
      </c>
      <c r="C714" t="s">
        <v>1228</v>
      </c>
      <c r="D714">
        <v>545</v>
      </c>
      <c r="E714">
        <v>3</v>
      </c>
      <c r="F714" t="s">
        <v>1535</v>
      </c>
      <c r="G714" t="s">
        <v>1589</v>
      </c>
      <c r="H714" t="s">
        <v>1591</v>
      </c>
      <c r="I714">
        <v>1635</v>
      </c>
      <c r="J714">
        <v>66</v>
      </c>
      <c r="K714" t="s">
        <v>1595</v>
      </c>
      <c r="L714" t="s">
        <v>1599</v>
      </c>
      <c r="M714" t="str">
        <f>IF(Table1[[#This Row],[Quantity]]&gt;2,"Bulk Order","Normal Order")</f>
        <v>Bulk Order</v>
      </c>
      <c r="N714" t="str">
        <f>_xlfn.CONCAT(Table1[[#This Row],[Category]],"-",Table1[[#This Row],[City]])</f>
        <v>Electronics-Bangalore</v>
      </c>
      <c r="O714" t="str">
        <f>LEFT(Table1[[#This Row],[Category]],3)</f>
        <v>Ele</v>
      </c>
      <c r="P714" s="2"/>
    </row>
    <row r="715" spans="1:16" x14ac:dyDescent="0.35">
      <c r="A715" t="s">
        <v>725</v>
      </c>
      <c r="B715" t="s">
        <v>1219</v>
      </c>
      <c r="C715" t="s">
        <v>1225</v>
      </c>
      <c r="D715">
        <v>1459</v>
      </c>
      <c r="E715">
        <v>3</v>
      </c>
      <c r="F715" t="s">
        <v>1312</v>
      </c>
      <c r="G715" t="s">
        <v>1585</v>
      </c>
      <c r="H715" t="s">
        <v>1592</v>
      </c>
      <c r="I715">
        <v>4377</v>
      </c>
      <c r="J715">
        <v>76</v>
      </c>
      <c r="K715" t="s">
        <v>1595</v>
      </c>
      <c r="L715" t="s">
        <v>1598</v>
      </c>
      <c r="M715" t="str">
        <f>IF(Table1[[#This Row],[Quantity]]&gt;2,"Bulk Order","Normal Order")</f>
        <v>Bulk Order</v>
      </c>
      <c r="N715" t="str">
        <f>_xlfn.CONCAT(Table1[[#This Row],[Category]],"-",Table1[[#This Row],[City]])</f>
        <v>Fitness-Kolkata</v>
      </c>
      <c r="O715" t="str">
        <f>LEFT(Table1[[#This Row],[Category]],3)</f>
        <v>Fit</v>
      </c>
      <c r="P715" s="2"/>
    </row>
    <row r="716" spans="1:16" x14ac:dyDescent="0.35">
      <c r="A716" t="s">
        <v>726</v>
      </c>
      <c r="B716" t="s">
        <v>1221</v>
      </c>
      <c r="C716" t="s">
        <v>1227</v>
      </c>
      <c r="D716">
        <v>3569</v>
      </c>
      <c r="E716">
        <v>3</v>
      </c>
      <c r="F716" t="s">
        <v>1331</v>
      </c>
      <c r="G716" t="s">
        <v>1588</v>
      </c>
      <c r="H716" t="s">
        <v>1592</v>
      </c>
      <c r="I716">
        <v>10707</v>
      </c>
      <c r="J716">
        <v>45</v>
      </c>
      <c r="K716" t="s">
        <v>1596</v>
      </c>
      <c r="L716" t="s">
        <v>1598</v>
      </c>
      <c r="M716" t="str">
        <f>IF(Table1[[#This Row],[Quantity]]&gt;2,"Bulk Order","Normal Order")</f>
        <v>Bulk Order</v>
      </c>
      <c r="N716" t="str">
        <f>_xlfn.CONCAT(Table1[[#This Row],[Category]],"-",Table1[[#This Row],[City]])</f>
        <v>Accessories-Delhi</v>
      </c>
      <c r="O716" t="str">
        <f>LEFT(Table1[[#This Row],[Category]],3)</f>
        <v>Acc</v>
      </c>
      <c r="P716" s="2"/>
    </row>
    <row r="717" spans="1:16" x14ac:dyDescent="0.35">
      <c r="A717" t="s">
        <v>727</v>
      </c>
      <c r="B717" t="s">
        <v>1222</v>
      </c>
      <c r="C717" t="s">
        <v>1227</v>
      </c>
      <c r="D717">
        <v>1696</v>
      </c>
      <c r="E717">
        <v>3</v>
      </c>
      <c r="F717" t="s">
        <v>1342</v>
      </c>
      <c r="G717" t="s">
        <v>1588</v>
      </c>
      <c r="H717" t="s">
        <v>1593</v>
      </c>
      <c r="I717">
        <v>5088</v>
      </c>
      <c r="J717">
        <v>85</v>
      </c>
      <c r="K717" t="s">
        <v>1595</v>
      </c>
      <c r="L717" t="s">
        <v>1599</v>
      </c>
      <c r="M717" t="str">
        <f>IF(Table1[[#This Row],[Quantity]]&gt;2,"Bulk Order","Normal Order")</f>
        <v>Bulk Order</v>
      </c>
      <c r="N717" t="str">
        <f>_xlfn.CONCAT(Table1[[#This Row],[Category]],"-",Table1[[#This Row],[City]])</f>
        <v>Accessories-Delhi</v>
      </c>
      <c r="O717" t="str">
        <f>LEFT(Table1[[#This Row],[Category]],3)</f>
        <v>Acc</v>
      </c>
      <c r="P717" s="2"/>
    </row>
    <row r="718" spans="1:16" x14ac:dyDescent="0.35">
      <c r="A718" t="s">
        <v>728</v>
      </c>
      <c r="B718" t="s">
        <v>1219</v>
      </c>
      <c r="C718" t="s">
        <v>1227</v>
      </c>
      <c r="D718">
        <v>826</v>
      </c>
      <c r="E718">
        <v>4</v>
      </c>
      <c r="F718" t="s">
        <v>1328</v>
      </c>
      <c r="G718" t="s">
        <v>1589</v>
      </c>
      <c r="H718" t="s">
        <v>1593</v>
      </c>
      <c r="I718">
        <v>3304</v>
      </c>
      <c r="J718">
        <v>24</v>
      </c>
      <c r="K718" t="s">
        <v>1594</v>
      </c>
      <c r="L718" t="s">
        <v>1599</v>
      </c>
      <c r="M718" t="str">
        <f>IF(Table1[[#This Row],[Quantity]]&gt;2,"Bulk Order","Normal Order")</f>
        <v>Bulk Order</v>
      </c>
      <c r="N718" t="str">
        <f>_xlfn.CONCAT(Table1[[#This Row],[Category]],"-",Table1[[#This Row],[City]])</f>
        <v>Accessories-Bangalore</v>
      </c>
      <c r="O718" t="str">
        <f>LEFT(Table1[[#This Row],[Category]],3)</f>
        <v>Acc</v>
      </c>
      <c r="P718" s="2"/>
    </row>
    <row r="719" spans="1:16" x14ac:dyDescent="0.35">
      <c r="A719" t="s">
        <v>729</v>
      </c>
      <c r="B719" t="s">
        <v>1217</v>
      </c>
      <c r="C719" t="s">
        <v>1226</v>
      </c>
      <c r="D719">
        <v>4506</v>
      </c>
      <c r="E719">
        <v>3</v>
      </c>
      <c r="F719" t="s">
        <v>1550</v>
      </c>
      <c r="G719" t="s">
        <v>1585</v>
      </c>
      <c r="H719" t="s">
        <v>1592</v>
      </c>
      <c r="I719">
        <v>13518</v>
      </c>
      <c r="J719">
        <v>77</v>
      </c>
      <c r="K719" t="s">
        <v>1595</v>
      </c>
      <c r="L719" t="s">
        <v>1597</v>
      </c>
      <c r="M719" t="str">
        <f>IF(Table1[[#This Row],[Quantity]]&gt;2,"Bulk Order","Normal Order")</f>
        <v>Bulk Order</v>
      </c>
      <c r="N719" t="str">
        <f>_xlfn.CONCAT(Table1[[#This Row],[Category]],"-",Table1[[#This Row],[City]])</f>
        <v>Home-Kolkata</v>
      </c>
      <c r="O719" t="str">
        <f>LEFT(Table1[[#This Row],[Category]],3)</f>
        <v>Hom</v>
      </c>
      <c r="P719" s="2"/>
    </row>
    <row r="720" spans="1:16" x14ac:dyDescent="0.35">
      <c r="A720" t="s">
        <v>730</v>
      </c>
      <c r="B720" t="s">
        <v>1213</v>
      </c>
      <c r="C720" t="s">
        <v>1226</v>
      </c>
      <c r="D720">
        <v>984</v>
      </c>
      <c r="E720">
        <v>4</v>
      </c>
      <c r="F720" t="s">
        <v>1551</v>
      </c>
      <c r="G720" t="s">
        <v>1586</v>
      </c>
      <c r="H720" t="s">
        <v>1592</v>
      </c>
      <c r="I720">
        <v>3936</v>
      </c>
      <c r="J720">
        <v>45</v>
      </c>
      <c r="K720" t="s">
        <v>1594</v>
      </c>
      <c r="L720" t="s">
        <v>1599</v>
      </c>
      <c r="M720" t="str">
        <f>IF(Table1[[#This Row],[Quantity]]&gt;2,"Bulk Order","Normal Order")</f>
        <v>Bulk Order</v>
      </c>
      <c r="N720" t="str">
        <f>_xlfn.CONCAT(Table1[[#This Row],[Category]],"-",Table1[[#This Row],[City]])</f>
        <v>Home-Hyderabad</v>
      </c>
      <c r="O720" t="str">
        <f>LEFT(Table1[[#This Row],[Category]],3)</f>
        <v>Hom</v>
      </c>
      <c r="P720" s="2"/>
    </row>
    <row r="721" spans="1:16" x14ac:dyDescent="0.35">
      <c r="A721" t="s">
        <v>731</v>
      </c>
      <c r="B721" t="s">
        <v>1223</v>
      </c>
      <c r="C721" t="s">
        <v>1227</v>
      </c>
      <c r="D721">
        <v>2568</v>
      </c>
      <c r="E721">
        <v>1</v>
      </c>
      <c r="F721" t="s">
        <v>1552</v>
      </c>
      <c r="G721" t="s">
        <v>1588</v>
      </c>
      <c r="H721" t="s">
        <v>1592</v>
      </c>
      <c r="I721">
        <v>2568</v>
      </c>
      <c r="J721">
        <v>47</v>
      </c>
      <c r="K721" t="s">
        <v>1595</v>
      </c>
      <c r="L721" t="s">
        <v>1599</v>
      </c>
      <c r="M721" t="str">
        <f>IF(Table1[[#This Row],[Quantity]]&gt;2,"Bulk Order","Normal Order")</f>
        <v>Normal Order</v>
      </c>
      <c r="N721" t="str">
        <f>_xlfn.CONCAT(Table1[[#This Row],[Category]],"-",Table1[[#This Row],[City]])</f>
        <v>Accessories-Delhi</v>
      </c>
      <c r="O721" t="str">
        <f>LEFT(Table1[[#This Row],[Category]],3)</f>
        <v>Acc</v>
      </c>
      <c r="P721" s="2"/>
    </row>
    <row r="722" spans="1:16" x14ac:dyDescent="0.35">
      <c r="A722" t="s">
        <v>732</v>
      </c>
      <c r="B722" t="s">
        <v>1220</v>
      </c>
      <c r="C722" t="s">
        <v>1228</v>
      </c>
      <c r="D722">
        <v>4586</v>
      </c>
      <c r="E722">
        <v>3</v>
      </c>
      <c r="F722" t="s">
        <v>1344</v>
      </c>
      <c r="G722" t="s">
        <v>1587</v>
      </c>
      <c r="H722" t="s">
        <v>1590</v>
      </c>
      <c r="I722">
        <v>13758</v>
      </c>
      <c r="J722">
        <v>69</v>
      </c>
      <c r="K722" t="s">
        <v>1595</v>
      </c>
      <c r="L722" t="s">
        <v>1598</v>
      </c>
      <c r="M722" t="str">
        <f>IF(Table1[[#This Row],[Quantity]]&gt;2,"Bulk Order","Normal Order")</f>
        <v>Bulk Order</v>
      </c>
      <c r="N722" t="str">
        <f>_xlfn.CONCAT(Table1[[#This Row],[Category]],"-",Table1[[#This Row],[City]])</f>
        <v>Electronics-Mumbai</v>
      </c>
      <c r="O722" t="str">
        <f>LEFT(Table1[[#This Row],[Category]],3)</f>
        <v>Ele</v>
      </c>
      <c r="P722" s="2"/>
    </row>
    <row r="723" spans="1:16" x14ac:dyDescent="0.35">
      <c r="A723" t="s">
        <v>733</v>
      </c>
      <c r="B723" t="s">
        <v>1217</v>
      </c>
      <c r="C723" t="s">
        <v>1227</v>
      </c>
      <c r="D723">
        <v>4481</v>
      </c>
      <c r="E723">
        <v>3</v>
      </c>
      <c r="F723" t="s">
        <v>1553</v>
      </c>
      <c r="G723" t="s">
        <v>1586</v>
      </c>
      <c r="H723" t="s">
        <v>1592</v>
      </c>
      <c r="I723">
        <v>13443</v>
      </c>
      <c r="J723">
        <v>41</v>
      </c>
      <c r="K723" t="s">
        <v>1595</v>
      </c>
      <c r="L723" t="s">
        <v>1599</v>
      </c>
      <c r="M723" t="str">
        <f>IF(Table1[[#This Row],[Quantity]]&gt;2,"Bulk Order","Normal Order")</f>
        <v>Bulk Order</v>
      </c>
      <c r="N723" t="str">
        <f>_xlfn.CONCAT(Table1[[#This Row],[Category]],"-",Table1[[#This Row],[City]])</f>
        <v>Accessories-Hyderabad</v>
      </c>
      <c r="O723" t="str">
        <f>LEFT(Table1[[#This Row],[Category]],3)</f>
        <v>Acc</v>
      </c>
      <c r="P723" s="2"/>
    </row>
    <row r="724" spans="1:16" x14ac:dyDescent="0.35">
      <c r="A724" t="s">
        <v>734</v>
      </c>
      <c r="B724" t="s">
        <v>1215</v>
      </c>
      <c r="C724" t="s">
        <v>1224</v>
      </c>
      <c r="D724">
        <v>1994</v>
      </c>
      <c r="E724">
        <v>3</v>
      </c>
      <c r="F724" t="s">
        <v>1306</v>
      </c>
      <c r="G724" t="s">
        <v>1586</v>
      </c>
      <c r="H724" t="s">
        <v>1593</v>
      </c>
      <c r="I724">
        <v>5982</v>
      </c>
      <c r="J724">
        <v>46</v>
      </c>
      <c r="K724" t="s">
        <v>1595</v>
      </c>
      <c r="L724" t="s">
        <v>1599</v>
      </c>
      <c r="M724" t="str">
        <f>IF(Table1[[#This Row],[Quantity]]&gt;2,"Bulk Order","Normal Order")</f>
        <v>Bulk Order</v>
      </c>
      <c r="N724" t="str">
        <f>_xlfn.CONCAT(Table1[[#This Row],[Category]],"-",Table1[[#This Row],[City]])</f>
        <v>Lifestyle-Hyderabad</v>
      </c>
      <c r="O724" t="str">
        <f>LEFT(Table1[[#This Row],[Category]],3)</f>
        <v>Lif</v>
      </c>
      <c r="P724" s="2"/>
    </row>
    <row r="725" spans="1:16" x14ac:dyDescent="0.35">
      <c r="A725" t="s">
        <v>735</v>
      </c>
      <c r="B725" t="s">
        <v>1217</v>
      </c>
      <c r="C725" t="s">
        <v>1225</v>
      </c>
      <c r="D725">
        <v>4317</v>
      </c>
      <c r="E725">
        <v>4</v>
      </c>
      <c r="F725" t="s">
        <v>1296</v>
      </c>
      <c r="G725" t="s">
        <v>1585</v>
      </c>
      <c r="H725" t="s">
        <v>1593</v>
      </c>
      <c r="I725">
        <v>17268</v>
      </c>
      <c r="J725">
        <v>35</v>
      </c>
      <c r="K725" t="s">
        <v>1595</v>
      </c>
      <c r="L725" t="s">
        <v>1599</v>
      </c>
      <c r="M725" t="str">
        <f>IF(Table1[[#This Row],[Quantity]]&gt;2,"Bulk Order","Normal Order")</f>
        <v>Bulk Order</v>
      </c>
      <c r="N725" t="str">
        <f>_xlfn.CONCAT(Table1[[#This Row],[Category]],"-",Table1[[#This Row],[City]])</f>
        <v>Fitness-Kolkata</v>
      </c>
      <c r="O725" t="str">
        <f>LEFT(Table1[[#This Row],[Category]],3)</f>
        <v>Fit</v>
      </c>
      <c r="P725" s="2"/>
    </row>
    <row r="726" spans="1:16" x14ac:dyDescent="0.35">
      <c r="A726" t="s">
        <v>736</v>
      </c>
      <c r="B726" t="s">
        <v>1220</v>
      </c>
      <c r="C726" t="s">
        <v>1224</v>
      </c>
      <c r="D726">
        <v>3291</v>
      </c>
      <c r="E726">
        <v>3</v>
      </c>
      <c r="F726" t="s">
        <v>1295</v>
      </c>
      <c r="G726" t="s">
        <v>1586</v>
      </c>
      <c r="H726" t="s">
        <v>1592</v>
      </c>
      <c r="I726">
        <v>9873</v>
      </c>
      <c r="J726">
        <v>42</v>
      </c>
      <c r="K726" t="s">
        <v>1595</v>
      </c>
      <c r="L726" t="s">
        <v>1598</v>
      </c>
      <c r="M726" t="str">
        <f>IF(Table1[[#This Row],[Quantity]]&gt;2,"Bulk Order","Normal Order")</f>
        <v>Bulk Order</v>
      </c>
      <c r="N726" t="str">
        <f>_xlfn.CONCAT(Table1[[#This Row],[Category]],"-",Table1[[#This Row],[City]])</f>
        <v>Lifestyle-Hyderabad</v>
      </c>
      <c r="O726" t="str">
        <f>LEFT(Table1[[#This Row],[Category]],3)</f>
        <v>Lif</v>
      </c>
      <c r="P726" s="2"/>
    </row>
    <row r="727" spans="1:16" x14ac:dyDescent="0.35">
      <c r="A727" t="s">
        <v>737</v>
      </c>
      <c r="B727" t="s">
        <v>1221</v>
      </c>
      <c r="C727" t="s">
        <v>1226</v>
      </c>
      <c r="D727">
        <v>2779</v>
      </c>
      <c r="E727">
        <v>4</v>
      </c>
      <c r="F727" t="s">
        <v>1281</v>
      </c>
      <c r="G727" t="s">
        <v>1589</v>
      </c>
      <c r="H727" t="s">
        <v>1592</v>
      </c>
      <c r="I727">
        <v>11116</v>
      </c>
      <c r="J727">
        <v>24</v>
      </c>
      <c r="K727" t="s">
        <v>1595</v>
      </c>
      <c r="L727" t="s">
        <v>1598</v>
      </c>
      <c r="M727" t="str">
        <f>IF(Table1[[#This Row],[Quantity]]&gt;2,"Bulk Order","Normal Order")</f>
        <v>Bulk Order</v>
      </c>
      <c r="N727" t="str">
        <f>_xlfn.CONCAT(Table1[[#This Row],[Category]],"-",Table1[[#This Row],[City]])</f>
        <v>Home-Bangalore</v>
      </c>
      <c r="O727" t="str">
        <f>LEFT(Table1[[#This Row],[Category]],3)</f>
        <v>Hom</v>
      </c>
      <c r="P727" s="2"/>
    </row>
    <row r="728" spans="1:16" x14ac:dyDescent="0.35">
      <c r="A728" t="s">
        <v>738</v>
      </c>
      <c r="B728" t="s">
        <v>1220</v>
      </c>
      <c r="C728" t="s">
        <v>1226</v>
      </c>
      <c r="D728">
        <v>3376</v>
      </c>
      <c r="E728">
        <v>4</v>
      </c>
      <c r="F728" t="s">
        <v>1292</v>
      </c>
      <c r="G728" t="s">
        <v>1588</v>
      </c>
      <c r="H728" t="s">
        <v>1592</v>
      </c>
      <c r="I728">
        <v>13504</v>
      </c>
      <c r="J728">
        <v>90</v>
      </c>
      <c r="K728" t="s">
        <v>1595</v>
      </c>
      <c r="L728" t="s">
        <v>1598</v>
      </c>
      <c r="M728" t="str">
        <f>IF(Table1[[#This Row],[Quantity]]&gt;2,"Bulk Order","Normal Order")</f>
        <v>Bulk Order</v>
      </c>
      <c r="N728" t="str">
        <f>_xlfn.CONCAT(Table1[[#This Row],[Category]],"-",Table1[[#This Row],[City]])</f>
        <v>Home-Delhi</v>
      </c>
      <c r="O728" t="str">
        <f>LEFT(Table1[[#This Row],[Category]],3)</f>
        <v>Hom</v>
      </c>
      <c r="P728" s="2"/>
    </row>
    <row r="729" spans="1:16" x14ac:dyDescent="0.35">
      <c r="A729" t="s">
        <v>739</v>
      </c>
      <c r="B729" t="s">
        <v>1220</v>
      </c>
      <c r="C729" t="s">
        <v>1224</v>
      </c>
      <c r="D729">
        <v>1223</v>
      </c>
      <c r="E729">
        <v>1</v>
      </c>
      <c r="F729" t="s">
        <v>1446</v>
      </c>
      <c r="G729" t="s">
        <v>1584</v>
      </c>
      <c r="H729" t="s">
        <v>1590</v>
      </c>
      <c r="I729">
        <v>1223</v>
      </c>
      <c r="J729">
        <v>98</v>
      </c>
      <c r="K729" t="s">
        <v>1595</v>
      </c>
      <c r="L729" t="s">
        <v>1597</v>
      </c>
      <c r="M729" t="str">
        <f>IF(Table1[[#This Row],[Quantity]]&gt;2,"Bulk Order","Normal Order")</f>
        <v>Normal Order</v>
      </c>
      <c r="N729" t="str">
        <f>_xlfn.CONCAT(Table1[[#This Row],[Category]],"-",Table1[[#This Row],[City]])</f>
        <v>Lifestyle-Chennai</v>
      </c>
      <c r="O729" t="str">
        <f>LEFT(Table1[[#This Row],[Category]],3)</f>
        <v>Lif</v>
      </c>
      <c r="P729" s="2"/>
    </row>
    <row r="730" spans="1:16" x14ac:dyDescent="0.35">
      <c r="A730" t="s">
        <v>740</v>
      </c>
      <c r="B730" t="s">
        <v>1212</v>
      </c>
      <c r="C730" t="s">
        <v>1224</v>
      </c>
      <c r="D730">
        <v>4344</v>
      </c>
      <c r="E730">
        <v>3</v>
      </c>
      <c r="F730" t="s">
        <v>1490</v>
      </c>
      <c r="G730" t="s">
        <v>1586</v>
      </c>
      <c r="H730" t="s">
        <v>1593</v>
      </c>
      <c r="I730">
        <v>13032</v>
      </c>
      <c r="J730">
        <v>66</v>
      </c>
      <c r="K730" t="s">
        <v>1594</v>
      </c>
      <c r="L730" t="s">
        <v>1597</v>
      </c>
      <c r="M730" t="str">
        <f>IF(Table1[[#This Row],[Quantity]]&gt;2,"Bulk Order","Normal Order")</f>
        <v>Bulk Order</v>
      </c>
      <c r="N730" t="str">
        <f>_xlfn.CONCAT(Table1[[#This Row],[Category]],"-",Table1[[#This Row],[City]])</f>
        <v>Lifestyle-Hyderabad</v>
      </c>
      <c r="O730" t="str">
        <f>LEFT(Table1[[#This Row],[Category]],3)</f>
        <v>Lif</v>
      </c>
      <c r="P730" s="2"/>
    </row>
    <row r="731" spans="1:16" x14ac:dyDescent="0.35">
      <c r="A731" t="s">
        <v>741</v>
      </c>
      <c r="B731" t="s">
        <v>1220</v>
      </c>
      <c r="C731" t="s">
        <v>1227</v>
      </c>
      <c r="D731">
        <v>2462</v>
      </c>
      <c r="E731">
        <v>4</v>
      </c>
      <c r="F731" t="s">
        <v>1232</v>
      </c>
      <c r="G731" t="s">
        <v>1589</v>
      </c>
      <c r="H731" t="s">
        <v>1591</v>
      </c>
      <c r="I731">
        <v>9848</v>
      </c>
      <c r="J731">
        <v>41</v>
      </c>
      <c r="K731" t="s">
        <v>1595</v>
      </c>
      <c r="L731" t="s">
        <v>1598</v>
      </c>
      <c r="M731" t="str">
        <f>IF(Table1[[#This Row],[Quantity]]&gt;2,"Bulk Order","Normal Order")</f>
        <v>Bulk Order</v>
      </c>
      <c r="N731" t="str">
        <f>_xlfn.CONCAT(Table1[[#This Row],[Category]],"-",Table1[[#This Row],[City]])</f>
        <v>Accessories-Bangalore</v>
      </c>
      <c r="O731" t="str">
        <f>LEFT(Table1[[#This Row],[Category]],3)</f>
        <v>Acc</v>
      </c>
      <c r="P731" s="2"/>
    </row>
    <row r="732" spans="1:16" x14ac:dyDescent="0.35">
      <c r="A732" t="s">
        <v>742</v>
      </c>
      <c r="B732" t="s">
        <v>1213</v>
      </c>
      <c r="C732" t="s">
        <v>1224</v>
      </c>
      <c r="D732">
        <v>1058</v>
      </c>
      <c r="E732">
        <v>2</v>
      </c>
      <c r="F732" t="s">
        <v>1320</v>
      </c>
      <c r="G732" t="s">
        <v>1588</v>
      </c>
      <c r="H732" t="s">
        <v>1591</v>
      </c>
      <c r="I732">
        <v>2116</v>
      </c>
      <c r="J732">
        <v>25</v>
      </c>
      <c r="K732" t="s">
        <v>1596</v>
      </c>
      <c r="L732" t="s">
        <v>1597</v>
      </c>
      <c r="M732" t="str">
        <f>IF(Table1[[#This Row],[Quantity]]&gt;2,"Bulk Order","Normal Order")</f>
        <v>Normal Order</v>
      </c>
      <c r="N732" t="str">
        <f>_xlfn.CONCAT(Table1[[#This Row],[Category]],"-",Table1[[#This Row],[City]])</f>
        <v>Lifestyle-Delhi</v>
      </c>
      <c r="O732" t="str">
        <f>LEFT(Table1[[#This Row],[Category]],3)</f>
        <v>Lif</v>
      </c>
      <c r="P732" s="2"/>
    </row>
    <row r="733" spans="1:16" x14ac:dyDescent="0.35">
      <c r="A733" t="s">
        <v>743</v>
      </c>
      <c r="B733" t="s">
        <v>1218</v>
      </c>
      <c r="C733" t="s">
        <v>1225</v>
      </c>
      <c r="D733">
        <v>2072</v>
      </c>
      <c r="E733">
        <v>3</v>
      </c>
      <c r="F733" t="s">
        <v>1490</v>
      </c>
      <c r="G733" t="s">
        <v>1589</v>
      </c>
      <c r="H733" t="s">
        <v>1590</v>
      </c>
      <c r="I733">
        <v>6216</v>
      </c>
      <c r="J733">
        <v>39</v>
      </c>
      <c r="K733" t="s">
        <v>1595</v>
      </c>
      <c r="L733" t="s">
        <v>1597</v>
      </c>
      <c r="M733" t="str">
        <f>IF(Table1[[#This Row],[Quantity]]&gt;2,"Bulk Order","Normal Order")</f>
        <v>Bulk Order</v>
      </c>
      <c r="N733" t="str">
        <f>_xlfn.CONCAT(Table1[[#This Row],[Category]],"-",Table1[[#This Row],[City]])</f>
        <v>Fitness-Bangalore</v>
      </c>
      <c r="O733" t="str">
        <f>LEFT(Table1[[#This Row],[Category]],3)</f>
        <v>Fit</v>
      </c>
      <c r="P733" s="2"/>
    </row>
    <row r="734" spans="1:16" x14ac:dyDescent="0.35">
      <c r="A734" t="s">
        <v>744</v>
      </c>
      <c r="B734" t="s">
        <v>1221</v>
      </c>
      <c r="C734" t="s">
        <v>1228</v>
      </c>
      <c r="D734">
        <v>390</v>
      </c>
      <c r="E734">
        <v>1</v>
      </c>
      <c r="F734" t="s">
        <v>1388</v>
      </c>
      <c r="G734" t="s">
        <v>1586</v>
      </c>
      <c r="H734" t="s">
        <v>1590</v>
      </c>
      <c r="I734">
        <v>390</v>
      </c>
      <c r="J734">
        <v>39</v>
      </c>
      <c r="K734" t="s">
        <v>1595</v>
      </c>
      <c r="L734" t="s">
        <v>1599</v>
      </c>
      <c r="M734" t="str">
        <f>IF(Table1[[#This Row],[Quantity]]&gt;2,"Bulk Order","Normal Order")</f>
        <v>Normal Order</v>
      </c>
      <c r="N734" t="str">
        <f>_xlfn.CONCAT(Table1[[#This Row],[Category]],"-",Table1[[#This Row],[City]])</f>
        <v>Electronics-Hyderabad</v>
      </c>
      <c r="O734" t="str">
        <f>LEFT(Table1[[#This Row],[Category]],3)</f>
        <v>Ele</v>
      </c>
      <c r="P734" s="2"/>
    </row>
    <row r="735" spans="1:16" x14ac:dyDescent="0.35">
      <c r="A735" t="s">
        <v>745</v>
      </c>
      <c r="B735" t="s">
        <v>1217</v>
      </c>
      <c r="C735" t="s">
        <v>1225</v>
      </c>
      <c r="D735">
        <v>1748</v>
      </c>
      <c r="E735">
        <v>3</v>
      </c>
      <c r="F735" t="s">
        <v>1482</v>
      </c>
      <c r="G735" t="s">
        <v>1584</v>
      </c>
      <c r="H735" t="s">
        <v>1590</v>
      </c>
      <c r="I735">
        <v>5244</v>
      </c>
      <c r="J735">
        <v>92</v>
      </c>
      <c r="K735" t="s">
        <v>1594</v>
      </c>
      <c r="L735" t="s">
        <v>1599</v>
      </c>
      <c r="M735" t="str">
        <f>IF(Table1[[#This Row],[Quantity]]&gt;2,"Bulk Order","Normal Order")</f>
        <v>Bulk Order</v>
      </c>
      <c r="N735" t="str">
        <f>_xlfn.CONCAT(Table1[[#This Row],[Category]],"-",Table1[[#This Row],[City]])</f>
        <v>Fitness-Chennai</v>
      </c>
      <c r="O735" t="str">
        <f>LEFT(Table1[[#This Row],[Category]],3)</f>
        <v>Fit</v>
      </c>
      <c r="P735" s="2"/>
    </row>
    <row r="736" spans="1:16" x14ac:dyDescent="0.35">
      <c r="A736" t="s">
        <v>746</v>
      </c>
      <c r="B736" t="s">
        <v>1219</v>
      </c>
      <c r="C736" t="s">
        <v>1228</v>
      </c>
      <c r="D736">
        <v>1712</v>
      </c>
      <c r="E736">
        <v>4</v>
      </c>
      <c r="F736" t="s">
        <v>1395</v>
      </c>
      <c r="G736" t="s">
        <v>1588</v>
      </c>
      <c r="H736" t="s">
        <v>1593</v>
      </c>
      <c r="I736">
        <v>6848</v>
      </c>
      <c r="J736">
        <v>100</v>
      </c>
      <c r="K736" t="s">
        <v>1595</v>
      </c>
      <c r="L736" t="s">
        <v>1598</v>
      </c>
      <c r="M736" t="str">
        <f>IF(Table1[[#This Row],[Quantity]]&gt;2,"Bulk Order","Normal Order")</f>
        <v>Bulk Order</v>
      </c>
      <c r="N736" t="str">
        <f>_xlfn.CONCAT(Table1[[#This Row],[Category]],"-",Table1[[#This Row],[City]])</f>
        <v>Electronics-Delhi</v>
      </c>
      <c r="O736" t="str">
        <f>LEFT(Table1[[#This Row],[Category]],3)</f>
        <v>Ele</v>
      </c>
      <c r="P736" s="2"/>
    </row>
    <row r="737" spans="1:16" x14ac:dyDescent="0.35">
      <c r="A737" t="s">
        <v>747</v>
      </c>
      <c r="B737" t="s">
        <v>1215</v>
      </c>
      <c r="C737" t="s">
        <v>1228</v>
      </c>
      <c r="D737">
        <v>4759</v>
      </c>
      <c r="E737">
        <v>2</v>
      </c>
      <c r="F737" t="s">
        <v>1261</v>
      </c>
      <c r="G737" t="s">
        <v>1589</v>
      </c>
      <c r="H737" t="s">
        <v>1592</v>
      </c>
      <c r="I737">
        <v>9518</v>
      </c>
      <c r="J737">
        <v>66</v>
      </c>
      <c r="K737" t="s">
        <v>1596</v>
      </c>
      <c r="L737" t="s">
        <v>1599</v>
      </c>
      <c r="M737" t="str">
        <f>IF(Table1[[#This Row],[Quantity]]&gt;2,"Bulk Order","Normal Order")</f>
        <v>Normal Order</v>
      </c>
      <c r="N737" t="str">
        <f>_xlfn.CONCAT(Table1[[#This Row],[Category]],"-",Table1[[#This Row],[City]])</f>
        <v>Electronics-Bangalore</v>
      </c>
      <c r="O737" t="str">
        <f>LEFT(Table1[[#This Row],[Category]],3)</f>
        <v>Ele</v>
      </c>
      <c r="P737" s="2"/>
    </row>
    <row r="738" spans="1:16" x14ac:dyDescent="0.35">
      <c r="A738" t="s">
        <v>748</v>
      </c>
      <c r="B738" t="s">
        <v>1223</v>
      </c>
      <c r="C738" t="s">
        <v>1228</v>
      </c>
      <c r="D738">
        <v>4490</v>
      </c>
      <c r="E738">
        <v>3</v>
      </c>
      <c r="F738" t="s">
        <v>1349</v>
      </c>
      <c r="G738" t="s">
        <v>1587</v>
      </c>
      <c r="H738" t="s">
        <v>1590</v>
      </c>
      <c r="I738">
        <v>13470</v>
      </c>
      <c r="J738">
        <v>76</v>
      </c>
      <c r="K738" t="s">
        <v>1595</v>
      </c>
      <c r="L738" t="s">
        <v>1597</v>
      </c>
      <c r="M738" t="str">
        <f>IF(Table1[[#This Row],[Quantity]]&gt;2,"Bulk Order","Normal Order")</f>
        <v>Bulk Order</v>
      </c>
      <c r="N738" t="str">
        <f>_xlfn.CONCAT(Table1[[#This Row],[Category]],"-",Table1[[#This Row],[City]])</f>
        <v>Electronics-Mumbai</v>
      </c>
      <c r="O738" t="str">
        <f>LEFT(Table1[[#This Row],[Category]],3)</f>
        <v>Ele</v>
      </c>
      <c r="P738" s="2"/>
    </row>
    <row r="739" spans="1:16" x14ac:dyDescent="0.35">
      <c r="A739" t="s">
        <v>749</v>
      </c>
      <c r="B739" t="s">
        <v>1223</v>
      </c>
      <c r="C739" t="s">
        <v>1226</v>
      </c>
      <c r="D739">
        <v>2655</v>
      </c>
      <c r="E739">
        <v>1</v>
      </c>
      <c r="F739" t="s">
        <v>1261</v>
      </c>
      <c r="G739" t="s">
        <v>1586</v>
      </c>
      <c r="H739" t="s">
        <v>1592</v>
      </c>
      <c r="I739">
        <v>2655</v>
      </c>
      <c r="J739">
        <v>27</v>
      </c>
      <c r="K739" t="s">
        <v>1596</v>
      </c>
      <c r="L739" t="s">
        <v>1597</v>
      </c>
      <c r="M739" t="str">
        <f>IF(Table1[[#This Row],[Quantity]]&gt;2,"Bulk Order","Normal Order")</f>
        <v>Normal Order</v>
      </c>
      <c r="N739" t="str">
        <f>_xlfn.CONCAT(Table1[[#This Row],[Category]],"-",Table1[[#This Row],[City]])</f>
        <v>Home-Hyderabad</v>
      </c>
      <c r="O739" t="str">
        <f>LEFT(Table1[[#This Row],[Category]],3)</f>
        <v>Hom</v>
      </c>
      <c r="P739" s="2"/>
    </row>
    <row r="740" spans="1:16" x14ac:dyDescent="0.35">
      <c r="A740" t="s">
        <v>750</v>
      </c>
      <c r="B740" t="s">
        <v>1223</v>
      </c>
      <c r="C740" t="s">
        <v>1227</v>
      </c>
      <c r="D740">
        <v>2230</v>
      </c>
      <c r="E740">
        <v>2</v>
      </c>
      <c r="F740" t="s">
        <v>1323</v>
      </c>
      <c r="G740" t="s">
        <v>1589</v>
      </c>
      <c r="H740" t="s">
        <v>1590</v>
      </c>
      <c r="I740">
        <v>4460</v>
      </c>
      <c r="J740">
        <v>32</v>
      </c>
      <c r="K740" t="s">
        <v>1595</v>
      </c>
      <c r="L740" t="s">
        <v>1598</v>
      </c>
      <c r="M740" t="str">
        <f>IF(Table1[[#This Row],[Quantity]]&gt;2,"Bulk Order","Normal Order")</f>
        <v>Normal Order</v>
      </c>
      <c r="N740" t="str">
        <f>_xlfn.CONCAT(Table1[[#This Row],[Category]],"-",Table1[[#This Row],[City]])</f>
        <v>Accessories-Bangalore</v>
      </c>
      <c r="O740" t="str">
        <f>LEFT(Table1[[#This Row],[Category]],3)</f>
        <v>Acc</v>
      </c>
      <c r="P740" s="2"/>
    </row>
    <row r="741" spans="1:16" x14ac:dyDescent="0.35">
      <c r="A741" t="s">
        <v>751</v>
      </c>
      <c r="B741" t="s">
        <v>1222</v>
      </c>
      <c r="C741" t="s">
        <v>1224</v>
      </c>
      <c r="D741">
        <v>2534</v>
      </c>
      <c r="E741">
        <v>4</v>
      </c>
      <c r="F741" t="s">
        <v>1437</v>
      </c>
      <c r="G741" t="s">
        <v>1588</v>
      </c>
      <c r="H741" t="s">
        <v>1593</v>
      </c>
      <c r="I741">
        <v>10136</v>
      </c>
      <c r="J741">
        <v>96</v>
      </c>
      <c r="K741" t="s">
        <v>1596</v>
      </c>
      <c r="L741" t="s">
        <v>1598</v>
      </c>
      <c r="M741" t="str">
        <f>IF(Table1[[#This Row],[Quantity]]&gt;2,"Bulk Order","Normal Order")</f>
        <v>Bulk Order</v>
      </c>
      <c r="N741" t="str">
        <f>_xlfn.CONCAT(Table1[[#This Row],[Category]],"-",Table1[[#This Row],[City]])</f>
        <v>Lifestyle-Delhi</v>
      </c>
      <c r="O741" t="str">
        <f>LEFT(Table1[[#This Row],[Category]],3)</f>
        <v>Lif</v>
      </c>
      <c r="P741" s="2"/>
    </row>
    <row r="742" spans="1:16" x14ac:dyDescent="0.35">
      <c r="A742" t="s">
        <v>752</v>
      </c>
      <c r="B742" t="s">
        <v>1217</v>
      </c>
      <c r="C742" t="s">
        <v>1228</v>
      </c>
      <c r="D742">
        <v>787</v>
      </c>
      <c r="E742">
        <v>3</v>
      </c>
      <c r="F742" t="s">
        <v>1394</v>
      </c>
      <c r="G742" t="s">
        <v>1589</v>
      </c>
      <c r="H742" t="s">
        <v>1593</v>
      </c>
      <c r="I742">
        <v>2361</v>
      </c>
      <c r="J742">
        <v>79</v>
      </c>
      <c r="K742" t="s">
        <v>1595</v>
      </c>
      <c r="L742" t="s">
        <v>1599</v>
      </c>
      <c r="M742" t="str">
        <f>IF(Table1[[#This Row],[Quantity]]&gt;2,"Bulk Order","Normal Order")</f>
        <v>Bulk Order</v>
      </c>
      <c r="N742" t="str">
        <f>_xlfn.CONCAT(Table1[[#This Row],[Category]],"-",Table1[[#This Row],[City]])</f>
        <v>Electronics-Bangalore</v>
      </c>
      <c r="O742" t="str">
        <f>LEFT(Table1[[#This Row],[Category]],3)</f>
        <v>Ele</v>
      </c>
      <c r="P742" s="2"/>
    </row>
    <row r="743" spans="1:16" x14ac:dyDescent="0.35">
      <c r="A743" t="s">
        <v>753</v>
      </c>
      <c r="B743" t="s">
        <v>1215</v>
      </c>
      <c r="C743" t="s">
        <v>1227</v>
      </c>
      <c r="D743">
        <v>4112</v>
      </c>
      <c r="E743">
        <v>3</v>
      </c>
      <c r="F743" t="s">
        <v>1486</v>
      </c>
      <c r="G743" t="s">
        <v>1589</v>
      </c>
      <c r="H743" t="s">
        <v>1593</v>
      </c>
      <c r="I743">
        <v>12336</v>
      </c>
      <c r="J743">
        <v>26</v>
      </c>
      <c r="K743" t="s">
        <v>1594</v>
      </c>
      <c r="L743" t="s">
        <v>1597</v>
      </c>
      <c r="M743" t="str">
        <f>IF(Table1[[#This Row],[Quantity]]&gt;2,"Bulk Order","Normal Order")</f>
        <v>Bulk Order</v>
      </c>
      <c r="N743" t="str">
        <f>_xlfn.CONCAT(Table1[[#This Row],[Category]],"-",Table1[[#This Row],[City]])</f>
        <v>Accessories-Bangalore</v>
      </c>
      <c r="O743" t="str">
        <f>LEFT(Table1[[#This Row],[Category]],3)</f>
        <v>Acc</v>
      </c>
      <c r="P743" s="2"/>
    </row>
    <row r="744" spans="1:16" x14ac:dyDescent="0.35">
      <c r="A744" t="s">
        <v>754</v>
      </c>
      <c r="B744" t="s">
        <v>1218</v>
      </c>
      <c r="C744" t="s">
        <v>1225</v>
      </c>
      <c r="D744">
        <v>467</v>
      </c>
      <c r="E744">
        <v>3</v>
      </c>
      <c r="F744" t="s">
        <v>1267</v>
      </c>
      <c r="G744" t="s">
        <v>1585</v>
      </c>
      <c r="H744" t="s">
        <v>1593</v>
      </c>
      <c r="I744">
        <v>1401</v>
      </c>
      <c r="J744">
        <v>46</v>
      </c>
      <c r="K744" t="s">
        <v>1595</v>
      </c>
      <c r="L744" t="s">
        <v>1598</v>
      </c>
      <c r="M744" t="str">
        <f>IF(Table1[[#This Row],[Quantity]]&gt;2,"Bulk Order","Normal Order")</f>
        <v>Bulk Order</v>
      </c>
      <c r="N744" t="str">
        <f>_xlfn.CONCAT(Table1[[#This Row],[Category]],"-",Table1[[#This Row],[City]])</f>
        <v>Fitness-Kolkata</v>
      </c>
      <c r="O744" t="str">
        <f>LEFT(Table1[[#This Row],[Category]],3)</f>
        <v>Fit</v>
      </c>
      <c r="P744" s="2"/>
    </row>
    <row r="745" spans="1:16" x14ac:dyDescent="0.35">
      <c r="A745" t="s">
        <v>755</v>
      </c>
      <c r="B745" t="s">
        <v>1221</v>
      </c>
      <c r="C745" t="s">
        <v>1226</v>
      </c>
      <c r="D745">
        <v>3749</v>
      </c>
      <c r="E745">
        <v>3</v>
      </c>
      <c r="F745" t="s">
        <v>1380</v>
      </c>
      <c r="G745" t="s">
        <v>1589</v>
      </c>
      <c r="H745" t="s">
        <v>1592</v>
      </c>
      <c r="I745">
        <v>11247</v>
      </c>
      <c r="J745">
        <v>71</v>
      </c>
      <c r="K745" t="s">
        <v>1595</v>
      </c>
      <c r="L745" t="s">
        <v>1599</v>
      </c>
      <c r="M745" t="str">
        <f>IF(Table1[[#This Row],[Quantity]]&gt;2,"Bulk Order","Normal Order")</f>
        <v>Bulk Order</v>
      </c>
      <c r="N745" t="str">
        <f>_xlfn.CONCAT(Table1[[#This Row],[Category]],"-",Table1[[#This Row],[City]])</f>
        <v>Home-Bangalore</v>
      </c>
      <c r="O745" t="str">
        <f>LEFT(Table1[[#This Row],[Category]],3)</f>
        <v>Hom</v>
      </c>
      <c r="P745" s="2"/>
    </row>
    <row r="746" spans="1:16" x14ac:dyDescent="0.35">
      <c r="A746" t="s">
        <v>756</v>
      </c>
      <c r="B746" t="s">
        <v>1217</v>
      </c>
      <c r="C746" t="s">
        <v>1224</v>
      </c>
      <c r="D746">
        <v>2279</v>
      </c>
      <c r="E746">
        <v>3</v>
      </c>
      <c r="F746" t="s">
        <v>1467</v>
      </c>
      <c r="G746" t="s">
        <v>1587</v>
      </c>
      <c r="H746" t="s">
        <v>1591</v>
      </c>
      <c r="I746">
        <v>6837</v>
      </c>
      <c r="J746">
        <v>95</v>
      </c>
      <c r="K746" t="s">
        <v>1596</v>
      </c>
      <c r="L746" t="s">
        <v>1599</v>
      </c>
      <c r="M746" t="str">
        <f>IF(Table1[[#This Row],[Quantity]]&gt;2,"Bulk Order","Normal Order")</f>
        <v>Bulk Order</v>
      </c>
      <c r="N746" t="str">
        <f>_xlfn.CONCAT(Table1[[#This Row],[Category]],"-",Table1[[#This Row],[City]])</f>
        <v>Lifestyle-Mumbai</v>
      </c>
      <c r="O746" t="str">
        <f>LEFT(Table1[[#This Row],[Category]],3)</f>
        <v>Lif</v>
      </c>
      <c r="P746" s="2"/>
    </row>
    <row r="747" spans="1:16" x14ac:dyDescent="0.35">
      <c r="A747" t="s">
        <v>757</v>
      </c>
      <c r="B747" t="s">
        <v>1223</v>
      </c>
      <c r="C747" t="s">
        <v>1228</v>
      </c>
      <c r="D747">
        <v>1544</v>
      </c>
      <c r="E747">
        <v>1</v>
      </c>
      <c r="F747" t="s">
        <v>1554</v>
      </c>
      <c r="G747" t="s">
        <v>1585</v>
      </c>
      <c r="H747" t="s">
        <v>1592</v>
      </c>
      <c r="I747">
        <v>1544</v>
      </c>
      <c r="J747">
        <v>24</v>
      </c>
      <c r="K747" t="s">
        <v>1595</v>
      </c>
      <c r="L747" t="s">
        <v>1598</v>
      </c>
      <c r="M747" t="str">
        <f>IF(Table1[[#This Row],[Quantity]]&gt;2,"Bulk Order","Normal Order")</f>
        <v>Normal Order</v>
      </c>
      <c r="N747" t="str">
        <f>_xlfn.CONCAT(Table1[[#This Row],[Category]],"-",Table1[[#This Row],[City]])</f>
        <v>Electronics-Kolkata</v>
      </c>
      <c r="O747" t="str">
        <f>LEFT(Table1[[#This Row],[Category]],3)</f>
        <v>Ele</v>
      </c>
      <c r="P747" s="2"/>
    </row>
    <row r="748" spans="1:16" x14ac:dyDescent="0.35">
      <c r="A748" t="s">
        <v>758</v>
      </c>
      <c r="B748" t="s">
        <v>1212</v>
      </c>
      <c r="C748" t="s">
        <v>1225</v>
      </c>
      <c r="D748">
        <v>3927</v>
      </c>
      <c r="E748">
        <v>4</v>
      </c>
      <c r="F748" t="s">
        <v>1280</v>
      </c>
      <c r="G748" t="s">
        <v>1586</v>
      </c>
      <c r="H748" t="s">
        <v>1593</v>
      </c>
      <c r="I748">
        <v>15708</v>
      </c>
      <c r="J748">
        <v>24</v>
      </c>
      <c r="K748" t="s">
        <v>1595</v>
      </c>
      <c r="L748" t="s">
        <v>1598</v>
      </c>
      <c r="M748" t="str">
        <f>IF(Table1[[#This Row],[Quantity]]&gt;2,"Bulk Order","Normal Order")</f>
        <v>Bulk Order</v>
      </c>
      <c r="N748" t="str">
        <f>_xlfn.CONCAT(Table1[[#This Row],[Category]],"-",Table1[[#This Row],[City]])</f>
        <v>Fitness-Hyderabad</v>
      </c>
      <c r="O748" t="str">
        <f>LEFT(Table1[[#This Row],[Category]],3)</f>
        <v>Fit</v>
      </c>
      <c r="P748" s="2"/>
    </row>
    <row r="749" spans="1:16" x14ac:dyDescent="0.35">
      <c r="A749" t="s">
        <v>759</v>
      </c>
      <c r="B749" t="s">
        <v>1223</v>
      </c>
      <c r="C749" t="s">
        <v>1227</v>
      </c>
      <c r="D749">
        <v>3336</v>
      </c>
      <c r="E749">
        <v>2</v>
      </c>
      <c r="F749" t="s">
        <v>1301</v>
      </c>
      <c r="G749" t="s">
        <v>1589</v>
      </c>
      <c r="H749" t="s">
        <v>1592</v>
      </c>
      <c r="I749">
        <v>6672</v>
      </c>
      <c r="J749">
        <v>99</v>
      </c>
      <c r="K749" t="s">
        <v>1595</v>
      </c>
      <c r="L749" t="s">
        <v>1598</v>
      </c>
      <c r="M749" t="str">
        <f>IF(Table1[[#This Row],[Quantity]]&gt;2,"Bulk Order","Normal Order")</f>
        <v>Normal Order</v>
      </c>
      <c r="N749" t="str">
        <f>_xlfn.CONCAT(Table1[[#This Row],[Category]],"-",Table1[[#This Row],[City]])</f>
        <v>Accessories-Bangalore</v>
      </c>
      <c r="O749" t="str">
        <f>LEFT(Table1[[#This Row],[Category]],3)</f>
        <v>Acc</v>
      </c>
      <c r="P749" s="2"/>
    </row>
    <row r="750" spans="1:16" x14ac:dyDescent="0.35">
      <c r="A750" t="s">
        <v>760</v>
      </c>
      <c r="B750" t="s">
        <v>1223</v>
      </c>
      <c r="C750" t="s">
        <v>1227</v>
      </c>
      <c r="D750">
        <v>4422</v>
      </c>
      <c r="E750">
        <v>1</v>
      </c>
      <c r="F750" t="s">
        <v>1481</v>
      </c>
      <c r="G750" t="s">
        <v>1584</v>
      </c>
      <c r="H750" t="s">
        <v>1593</v>
      </c>
      <c r="I750">
        <v>4422</v>
      </c>
      <c r="J750">
        <v>46</v>
      </c>
      <c r="K750" t="s">
        <v>1595</v>
      </c>
      <c r="L750" t="s">
        <v>1599</v>
      </c>
      <c r="M750" t="str">
        <f>IF(Table1[[#This Row],[Quantity]]&gt;2,"Bulk Order","Normal Order")</f>
        <v>Normal Order</v>
      </c>
      <c r="N750" t="str">
        <f>_xlfn.CONCAT(Table1[[#This Row],[Category]],"-",Table1[[#This Row],[City]])</f>
        <v>Accessories-Chennai</v>
      </c>
      <c r="O750" t="str">
        <f>LEFT(Table1[[#This Row],[Category]],3)</f>
        <v>Acc</v>
      </c>
      <c r="P750" s="2"/>
    </row>
    <row r="751" spans="1:16" x14ac:dyDescent="0.35">
      <c r="A751" t="s">
        <v>761</v>
      </c>
      <c r="B751" t="s">
        <v>1218</v>
      </c>
      <c r="C751" t="s">
        <v>1226</v>
      </c>
      <c r="D751">
        <v>4508</v>
      </c>
      <c r="E751">
        <v>2</v>
      </c>
      <c r="F751" t="s">
        <v>1330</v>
      </c>
      <c r="G751" t="s">
        <v>1584</v>
      </c>
      <c r="H751" t="s">
        <v>1590</v>
      </c>
      <c r="I751">
        <v>9016</v>
      </c>
      <c r="J751">
        <v>95</v>
      </c>
      <c r="K751" t="s">
        <v>1595</v>
      </c>
      <c r="L751" t="s">
        <v>1597</v>
      </c>
      <c r="M751" t="str">
        <f>IF(Table1[[#This Row],[Quantity]]&gt;2,"Bulk Order","Normal Order")</f>
        <v>Normal Order</v>
      </c>
      <c r="N751" t="str">
        <f>_xlfn.CONCAT(Table1[[#This Row],[Category]],"-",Table1[[#This Row],[City]])</f>
        <v>Home-Chennai</v>
      </c>
      <c r="O751" t="str">
        <f>LEFT(Table1[[#This Row],[Category]],3)</f>
        <v>Hom</v>
      </c>
      <c r="P751" s="2"/>
    </row>
    <row r="752" spans="1:16" x14ac:dyDescent="0.35">
      <c r="A752" t="s">
        <v>762</v>
      </c>
      <c r="B752" t="s">
        <v>1223</v>
      </c>
      <c r="C752" t="s">
        <v>1228</v>
      </c>
      <c r="D752">
        <v>1510</v>
      </c>
      <c r="E752">
        <v>1</v>
      </c>
      <c r="F752" t="s">
        <v>1550</v>
      </c>
      <c r="G752" t="s">
        <v>1585</v>
      </c>
      <c r="H752" t="s">
        <v>1591</v>
      </c>
      <c r="I752">
        <v>1510</v>
      </c>
      <c r="J752">
        <v>41</v>
      </c>
      <c r="K752" t="s">
        <v>1595</v>
      </c>
      <c r="L752" t="s">
        <v>1599</v>
      </c>
      <c r="M752" t="str">
        <f>IF(Table1[[#This Row],[Quantity]]&gt;2,"Bulk Order","Normal Order")</f>
        <v>Normal Order</v>
      </c>
      <c r="N752" t="str">
        <f>_xlfn.CONCAT(Table1[[#This Row],[Category]],"-",Table1[[#This Row],[City]])</f>
        <v>Electronics-Kolkata</v>
      </c>
      <c r="O752" t="str">
        <f>LEFT(Table1[[#This Row],[Category]],3)</f>
        <v>Ele</v>
      </c>
      <c r="P752" s="2"/>
    </row>
    <row r="753" spans="1:16" x14ac:dyDescent="0.35">
      <c r="A753" t="s">
        <v>763</v>
      </c>
      <c r="B753" t="s">
        <v>1213</v>
      </c>
      <c r="C753" t="s">
        <v>1224</v>
      </c>
      <c r="D753">
        <v>2498</v>
      </c>
      <c r="E753">
        <v>2</v>
      </c>
      <c r="F753" t="s">
        <v>1451</v>
      </c>
      <c r="G753" t="s">
        <v>1587</v>
      </c>
      <c r="H753" t="s">
        <v>1591</v>
      </c>
      <c r="I753">
        <v>4996</v>
      </c>
      <c r="J753">
        <v>23</v>
      </c>
      <c r="K753" t="s">
        <v>1595</v>
      </c>
      <c r="L753" t="s">
        <v>1598</v>
      </c>
      <c r="M753" t="str">
        <f>IF(Table1[[#This Row],[Quantity]]&gt;2,"Bulk Order","Normal Order")</f>
        <v>Normal Order</v>
      </c>
      <c r="N753" t="str">
        <f>_xlfn.CONCAT(Table1[[#This Row],[Category]],"-",Table1[[#This Row],[City]])</f>
        <v>Lifestyle-Mumbai</v>
      </c>
      <c r="O753" t="str">
        <f>LEFT(Table1[[#This Row],[Category]],3)</f>
        <v>Lif</v>
      </c>
      <c r="P753" s="2"/>
    </row>
    <row r="754" spans="1:16" x14ac:dyDescent="0.35">
      <c r="A754" t="s">
        <v>764</v>
      </c>
      <c r="B754" t="s">
        <v>1213</v>
      </c>
      <c r="C754" t="s">
        <v>1226</v>
      </c>
      <c r="D754">
        <v>2387</v>
      </c>
      <c r="E754">
        <v>1</v>
      </c>
      <c r="F754" t="s">
        <v>1371</v>
      </c>
      <c r="G754" t="s">
        <v>1588</v>
      </c>
      <c r="H754" t="s">
        <v>1591</v>
      </c>
      <c r="I754">
        <v>2387</v>
      </c>
      <c r="J754">
        <v>27</v>
      </c>
      <c r="K754" t="s">
        <v>1595</v>
      </c>
      <c r="L754" t="s">
        <v>1599</v>
      </c>
      <c r="M754" t="str">
        <f>IF(Table1[[#This Row],[Quantity]]&gt;2,"Bulk Order","Normal Order")</f>
        <v>Normal Order</v>
      </c>
      <c r="N754" t="str">
        <f>_xlfn.CONCAT(Table1[[#This Row],[Category]],"-",Table1[[#This Row],[City]])</f>
        <v>Home-Delhi</v>
      </c>
      <c r="O754" t="str">
        <f>LEFT(Table1[[#This Row],[Category]],3)</f>
        <v>Hom</v>
      </c>
      <c r="P754" s="2"/>
    </row>
    <row r="755" spans="1:16" x14ac:dyDescent="0.35">
      <c r="A755" t="s">
        <v>765</v>
      </c>
      <c r="B755" t="s">
        <v>1218</v>
      </c>
      <c r="C755" t="s">
        <v>1228</v>
      </c>
      <c r="D755">
        <v>2194</v>
      </c>
      <c r="E755">
        <v>2</v>
      </c>
      <c r="F755" t="s">
        <v>1442</v>
      </c>
      <c r="G755" t="s">
        <v>1589</v>
      </c>
      <c r="H755" t="s">
        <v>1593</v>
      </c>
      <c r="I755">
        <v>4388</v>
      </c>
      <c r="J755">
        <v>30</v>
      </c>
      <c r="K755" t="s">
        <v>1594</v>
      </c>
      <c r="L755" t="s">
        <v>1599</v>
      </c>
      <c r="M755" t="str">
        <f>IF(Table1[[#This Row],[Quantity]]&gt;2,"Bulk Order","Normal Order")</f>
        <v>Normal Order</v>
      </c>
      <c r="N755" t="str">
        <f>_xlfn.CONCAT(Table1[[#This Row],[Category]],"-",Table1[[#This Row],[City]])</f>
        <v>Electronics-Bangalore</v>
      </c>
      <c r="O755" t="str">
        <f>LEFT(Table1[[#This Row],[Category]],3)</f>
        <v>Ele</v>
      </c>
      <c r="P755" s="2"/>
    </row>
    <row r="756" spans="1:16" x14ac:dyDescent="0.35">
      <c r="A756" t="s">
        <v>766</v>
      </c>
      <c r="B756" t="s">
        <v>1222</v>
      </c>
      <c r="C756" t="s">
        <v>1225</v>
      </c>
      <c r="D756">
        <v>1731</v>
      </c>
      <c r="E756">
        <v>3</v>
      </c>
      <c r="F756" t="s">
        <v>1239</v>
      </c>
      <c r="G756" t="s">
        <v>1588</v>
      </c>
      <c r="H756" t="s">
        <v>1592</v>
      </c>
      <c r="I756">
        <v>5193</v>
      </c>
      <c r="J756">
        <v>55</v>
      </c>
      <c r="K756" t="s">
        <v>1595</v>
      </c>
      <c r="L756" t="s">
        <v>1597</v>
      </c>
      <c r="M756" t="str">
        <f>IF(Table1[[#This Row],[Quantity]]&gt;2,"Bulk Order","Normal Order")</f>
        <v>Bulk Order</v>
      </c>
      <c r="N756" t="str">
        <f>_xlfn.CONCAT(Table1[[#This Row],[Category]],"-",Table1[[#This Row],[City]])</f>
        <v>Fitness-Delhi</v>
      </c>
      <c r="O756" t="str">
        <f>LEFT(Table1[[#This Row],[Category]],3)</f>
        <v>Fit</v>
      </c>
      <c r="P756" s="2"/>
    </row>
    <row r="757" spans="1:16" x14ac:dyDescent="0.35">
      <c r="A757" t="s">
        <v>767</v>
      </c>
      <c r="B757" t="s">
        <v>1218</v>
      </c>
      <c r="C757" t="s">
        <v>1224</v>
      </c>
      <c r="D757">
        <v>2387</v>
      </c>
      <c r="E757">
        <v>3</v>
      </c>
      <c r="F757" t="s">
        <v>1272</v>
      </c>
      <c r="G757" t="s">
        <v>1584</v>
      </c>
      <c r="H757" t="s">
        <v>1593</v>
      </c>
      <c r="I757">
        <v>7161</v>
      </c>
      <c r="J757">
        <v>80</v>
      </c>
      <c r="K757" t="s">
        <v>1594</v>
      </c>
      <c r="L757" t="s">
        <v>1598</v>
      </c>
      <c r="M757" t="str">
        <f>IF(Table1[[#This Row],[Quantity]]&gt;2,"Bulk Order","Normal Order")</f>
        <v>Bulk Order</v>
      </c>
      <c r="N757" t="str">
        <f>_xlfn.CONCAT(Table1[[#This Row],[Category]],"-",Table1[[#This Row],[City]])</f>
        <v>Lifestyle-Chennai</v>
      </c>
      <c r="O757" t="str">
        <f>LEFT(Table1[[#This Row],[Category]],3)</f>
        <v>Lif</v>
      </c>
      <c r="P757" s="2"/>
    </row>
    <row r="758" spans="1:16" x14ac:dyDescent="0.35">
      <c r="A758" t="s">
        <v>768</v>
      </c>
      <c r="B758" t="s">
        <v>1223</v>
      </c>
      <c r="C758" t="s">
        <v>1225</v>
      </c>
      <c r="D758">
        <v>4932</v>
      </c>
      <c r="E758">
        <v>4</v>
      </c>
      <c r="F758" t="s">
        <v>1555</v>
      </c>
      <c r="G758" t="s">
        <v>1585</v>
      </c>
      <c r="H758" t="s">
        <v>1592</v>
      </c>
      <c r="I758">
        <v>19728</v>
      </c>
      <c r="J758">
        <v>88</v>
      </c>
      <c r="K758" t="s">
        <v>1596</v>
      </c>
      <c r="L758" t="s">
        <v>1599</v>
      </c>
      <c r="M758" t="str">
        <f>IF(Table1[[#This Row],[Quantity]]&gt;2,"Bulk Order","Normal Order")</f>
        <v>Bulk Order</v>
      </c>
      <c r="N758" t="str">
        <f>_xlfn.CONCAT(Table1[[#This Row],[Category]],"-",Table1[[#This Row],[City]])</f>
        <v>Fitness-Kolkata</v>
      </c>
      <c r="O758" t="str">
        <f>LEFT(Table1[[#This Row],[Category]],3)</f>
        <v>Fit</v>
      </c>
      <c r="P758" s="2"/>
    </row>
    <row r="759" spans="1:16" x14ac:dyDescent="0.35">
      <c r="A759" t="s">
        <v>769</v>
      </c>
      <c r="B759" t="s">
        <v>1219</v>
      </c>
      <c r="C759" t="s">
        <v>1228</v>
      </c>
      <c r="D759">
        <v>2333</v>
      </c>
      <c r="E759">
        <v>3</v>
      </c>
      <c r="F759" t="s">
        <v>1507</v>
      </c>
      <c r="G759" t="s">
        <v>1585</v>
      </c>
      <c r="H759" t="s">
        <v>1593</v>
      </c>
      <c r="I759">
        <v>6999</v>
      </c>
      <c r="J759">
        <v>71</v>
      </c>
      <c r="K759" t="s">
        <v>1595</v>
      </c>
      <c r="L759" t="s">
        <v>1599</v>
      </c>
      <c r="M759" t="str">
        <f>IF(Table1[[#This Row],[Quantity]]&gt;2,"Bulk Order","Normal Order")</f>
        <v>Bulk Order</v>
      </c>
      <c r="N759" t="str">
        <f>_xlfn.CONCAT(Table1[[#This Row],[Category]],"-",Table1[[#This Row],[City]])</f>
        <v>Electronics-Kolkata</v>
      </c>
      <c r="O759" t="str">
        <f>LEFT(Table1[[#This Row],[Category]],3)</f>
        <v>Ele</v>
      </c>
      <c r="P759" s="2"/>
    </row>
    <row r="760" spans="1:16" x14ac:dyDescent="0.35">
      <c r="A760" t="s">
        <v>770</v>
      </c>
      <c r="B760" t="s">
        <v>1223</v>
      </c>
      <c r="C760" t="s">
        <v>1227</v>
      </c>
      <c r="D760">
        <v>4985</v>
      </c>
      <c r="E760">
        <v>3</v>
      </c>
      <c r="F760" t="s">
        <v>1548</v>
      </c>
      <c r="G760" t="s">
        <v>1586</v>
      </c>
      <c r="H760" t="s">
        <v>1590</v>
      </c>
      <c r="I760">
        <v>14955</v>
      </c>
      <c r="J760">
        <v>27</v>
      </c>
      <c r="K760" t="s">
        <v>1594</v>
      </c>
      <c r="L760" t="s">
        <v>1598</v>
      </c>
      <c r="M760" t="str">
        <f>IF(Table1[[#This Row],[Quantity]]&gt;2,"Bulk Order","Normal Order")</f>
        <v>Bulk Order</v>
      </c>
      <c r="N760" t="str">
        <f>_xlfn.CONCAT(Table1[[#This Row],[Category]],"-",Table1[[#This Row],[City]])</f>
        <v>Accessories-Hyderabad</v>
      </c>
      <c r="O760" t="str">
        <f>LEFT(Table1[[#This Row],[Category]],3)</f>
        <v>Acc</v>
      </c>
      <c r="P760" s="2"/>
    </row>
    <row r="761" spans="1:16" x14ac:dyDescent="0.35">
      <c r="A761" t="s">
        <v>771</v>
      </c>
      <c r="B761" t="s">
        <v>1220</v>
      </c>
      <c r="C761" t="s">
        <v>1227</v>
      </c>
      <c r="D761">
        <v>934</v>
      </c>
      <c r="E761">
        <v>4</v>
      </c>
      <c r="F761" t="s">
        <v>1247</v>
      </c>
      <c r="G761" t="s">
        <v>1584</v>
      </c>
      <c r="H761" t="s">
        <v>1590</v>
      </c>
      <c r="I761">
        <v>3736</v>
      </c>
      <c r="J761">
        <v>79</v>
      </c>
      <c r="K761" t="s">
        <v>1595</v>
      </c>
      <c r="L761" t="s">
        <v>1599</v>
      </c>
      <c r="M761" t="str">
        <f>IF(Table1[[#This Row],[Quantity]]&gt;2,"Bulk Order","Normal Order")</f>
        <v>Bulk Order</v>
      </c>
      <c r="N761" t="str">
        <f>_xlfn.CONCAT(Table1[[#This Row],[Category]],"-",Table1[[#This Row],[City]])</f>
        <v>Accessories-Chennai</v>
      </c>
      <c r="O761" t="str">
        <f>LEFT(Table1[[#This Row],[Category]],3)</f>
        <v>Acc</v>
      </c>
      <c r="P761" s="2"/>
    </row>
    <row r="762" spans="1:16" x14ac:dyDescent="0.35">
      <c r="A762" t="s">
        <v>772</v>
      </c>
      <c r="B762" t="s">
        <v>1222</v>
      </c>
      <c r="C762" t="s">
        <v>1225</v>
      </c>
      <c r="D762">
        <v>4985</v>
      </c>
      <c r="E762">
        <v>3</v>
      </c>
      <c r="F762" t="s">
        <v>1380</v>
      </c>
      <c r="G762" t="s">
        <v>1585</v>
      </c>
      <c r="H762" t="s">
        <v>1590</v>
      </c>
      <c r="I762">
        <v>14955</v>
      </c>
      <c r="J762">
        <v>92</v>
      </c>
      <c r="K762" t="s">
        <v>1595</v>
      </c>
      <c r="L762" t="s">
        <v>1598</v>
      </c>
      <c r="M762" t="str">
        <f>IF(Table1[[#This Row],[Quantity]]&gt;2,"Bulk Order","Normal Order")</f>
        <v>Bulk Order</v>
      </c>
      <c r="N762" t="str">
        <f>_xlfn.CONCAT(Table1[[#This Row],[Category]],"-",Table1[[#This Row],[City]])</f>
        <v>Fitness-Kolkata</v>
      </c>
      <c r="O762" t="str">
        <f>LEFT(Table1[[#This Row],[Category]],3)</f>
        <v>Fit</v>
      </c>
      <c r="P762" s="2"/>
    </row>
    <row r="763" spans="1:16" x14ac:dyDescent="0.35">
      <c r="A763" t="s">
        <v>773</v>
      </c>
      <c r="B763" t="s">
        <v>1222</v>
      </c>
      <c r="C763" t="s">
        <v>1228</v>
      </c>
      <c r="D763">
        <v>883</v>
      </c>
      <c r="E763">
        <v>4</v>
      </c>
      <c r="F763" t="s">
        <v>1448</v>
      </c>
      <c r="G763" t="s">
        <v>1584</v>
      </c>
      <c r="H763" t="s">
        <v>1592</v>
      </c>
      <c r="I763">
        <v>3532</v>
      </c>
      <c r="J763">
        <v>24</v>
      </c>
      <c r="K763" t="s">
        <v>1595</v>
      </c>
      <c r="L763" t="s">
        <v>1599</v>
      </c>
      <c r="M763" t="str">
        <f>IF(Table1[[#This Row],[Quantity]]&gt;2,"Bulk Order","Normal Order")</f>
        <v>Bulk Order</v>
      </c>
      <c r="N763" t="str">
        <f>_xlfn.CONCAT(Table1[[#This Row],[Category]],"-",Table1[[#This Row],[City]])</f>
        <v>Electronics-Chennai</v>
      </c>
      <c r="O763" t="str">
        <f>LEFT(Table1[[#This Row],[Category]],3)</f>
        <v>Ele</v>
      </c>
      <c r="P763" s="2"/>
    </row>
    <row r="764" spans="1:16" x14ac:dyDescent="0.35">
      <c r="A764" t="s">
        <v>774</v>
      </c>
      <c r="B764" t="s">
        <v>1213</v>
      </c>
      <c r="C764" t="s">
        <v>1225</v>
      </c>
      <c r="D764">
        <v>3491</v>
      </c>
      <c r="E764">
        <v>3</v>
      </c>
      <c r="F764" t="s">
        <v>1275</v>
      </c>
      <c r="G764" t="s">
        <v>1588</v>
      </c>
      <c r="H764" t="s">
        <v>1590</v>
      </c>
      <c r="I764">
        <v>10473</v>
      </c>
      <c r="J764">
        <v>25</v>
      </c>
      <c r="K764" t="s">
        <v>1595</v>
      </c>
      <c r="L764" t="s">
        <v>1598</v>
      </c>
      <c r="M764" t="str">
        <f>IF(Table1[[#This Row],[Quantity]]&gt;2,"Bulk Order","Normal Order")</f>
        <v>Bulk Order</v>
      </c>
      <c r="N764" t="str">
        <f>_xlfn.CONCAT(Table1[[#This Row],[Category]],"-",Table1[[#This Row],[City]])</f>
        <v>Fitness-Delhi</v>
      </c>
      <c r="O764" t="str">
        <f>LEFT(Table1[[#This Row],[Category]],3)</f>
        <v>Fit</v>
      </c>
      <c r="P764" s="2"/>
    </row>
    <row r="765" spans="1:16" x14ac:dyDescent="0.35">
      <c r="A765" t="s">
        <v>775</v>
      </c>
      <c r="B765" t="s">
        <v>1215</v>
      </c>
      <c r="C765" t="s">
        <v>1226</v>
      </c>
      <c r="D765">
        <v>1586</v>
      </c>
      <c r="E765">
        <v>3</v>
      </c>
      <c r="F765" t="s">
        <v>1370</v>
      </c>
      <c r="G765" t="s">
        <v>1586</v>
      </c>
      <c r="H765" t="s">
        <v>1592</v>
      </c>
      <c r="I765">
        <v>4758</v>
      </c>
      <c r="J765">
        <v>73</v>
      </c>
      <c r="K765" t="s">
        <v>1595</v>
      </c>
      <c r="L765" t="s">
        <v>1598</v>
      </c>
      <c r="M765" t="str">
        <f>IF(Table1[[#This Row],[Quantity]]&gt;2,"Bulk Order","Normal Order")</f>
        <v>Bulk Order</v>
      </c>
      <c r="N765" t="str">
        <f>_xlfn.CONCAT(Table1[[#This Row],[Category]],"-",Table1[[#This Row],[City]])</f>
        <v>Home-Hyderabad</v>
      </c>
      <c r="O765" t="str">
        <f>LEFT(Table1[[#This Row],[Category]],3)</f>
        <v>Hom</v>
      </c>
      <c r="P765" s="2"/>
    </row>
    <row r="766" spans="1:16" x14ac:dyDescent="0.35">
      <c r="A766" t="s">
        <v>776</v>
      </c>
      <c r="B766" t="s">
        <v>1215</v>
      </c>
      <c r="C766" t="s">
        <v>1224</v>
      </c>
      <c r="D766">
        <v>1571</v>
      </c>
      <c r="E766">
        <v>3</v>
      </c>
      <c r="F766" t="s">
        <v>1261</v>
      </c>
      <c r="G766" t="s">
        <v>1587</v>
      </c>
      <c r="H766" t="s">
        <v>1590</v>
      </c>
      <c r="I766">
        <v>4713</v>
      </c>
      <c r="J766">
        <v>26</v>
      </c>
      <c r="K766" t="s">
        <v>1595</v>
      </c>
      <c r="L766" t="s">
        <v>1597</v>
      </c>
      <c r="M766" t="str">
        <f>IF(Table1[[#This Row],[Quantity]]&gt;2,"Bulk Order","Normal Order")</f>
        <v>Bulk Order</v>
      </c>
      <c r="N766" t="str">
        <f>_xlfn.CONCAT(Table1[[#This Row],[Category]],"-",Table1[[#This Row],[City]])</f>
        <v>Lifestyle-Mumbai</v>
      </c>
      <c r="O766" t="str">
        <f>LEFT(Table1[[#This Row],[Category]],3)</f>
        <v>Lif</v>
      </c>
      <c r="P766" s="2"/>
    </row>
    <row r="767" spans="1:16" x14ac:dyDescent="0.35">
      <c r="A767" t="s">
        <v>777</v>
      </c>
      <c r="B767" t="s">
        <v>1212</v>
      </c>
      <c r="C767" t="s">
        <v>1224</v>
      </c>
      <c r="D767">
        <v>4740</v>
      </c>
      <c r="E767">
        <v>3</v>
      </c>
      <c r="F767" t="s">
        <v>1450</v>
      </c>
      <c r="G767" t="s">
        <v>1585</v>
      </c>
      <c r="H767" t="s">
        <v>1590</v>
      </c>
      <c r="I767">
        <v>14220</v>
      </c>
      <c r="J767">
        <v>99</v>
      </c>
      <c r="K767" t="s">
        <v>1595</v>
      </c>
      <c r="L767" t="s">
        <v>1598</v>
      </c>
      <c r="M767" t="str">
        <f>IF(Table1[[#This Row],[Quantity]]&gt;2,"Bulk Order","Normal Order")</f>
        <v>Bulk Order</v>
      </c>
      <c r="N767" t="str">
        <f>_xlfn.CONCAT(Table1[[#This Row],[Category]],"-",Table1[[#This Row],[City]])</f>
        <v>Lifestyle-Kolkata</v>
      </c>
      <c r="O767" t="str">
        <f>LEFT(Table1[[#This Row],[Category]],3)</f>
        <v>Lif</v>
      </c>
      <c r="P767" s="2"/>
    </row>
    <row r="768" spans="1:16" x14ac:dyDescent="0.35">
      <c r="A768" t="s">
        <v>778</v>
      </c>
      <c r="B768" t="s">
        <v>1212</v>
      </c>
      <c r="C768" t="s">
        <v>1228</v>
      </c>
      <c r="D768">
        <v>2168</v>
      </c>
      <c r="E768">
        <v>1</v>
      </c>
      <c r="F768" t="s">
        <v>1457</v>
      </c>
      <c r="G768" t="s">
        <v>1589</v>
      </c>
      <c r="H768" t="s">
        <v>1590</v>
      </c>
      <c r="I768">
        <v>2168</v>
      </c>
      <c r="J768">
        <v>29</v>
      </c>
      <c r="K768" t="s">
        <v>1595</v>
      </c>
      <c r="L768" t="s">
        <v>1597</v>
      </c>
      <c r="M768" t="str">
        <f>IF(Table1[[#This Row],[Quantity]]&gt;2,"Bulk Order","Normal Order")</f>
        <v>Normal Order</v>
      </c>
      <c r="N768" t="str">
        <f>_xlfn.CONCAT(Table1[[#This Row],[Category]],"-",Table1[[#This Row],[City]])</f>
        <v>Electronics-Bangalore</v>
      </c>
      <c r="O768" t="str">
        <f>LEFT(Table1[[#This Row],[Category]],3)</f>
        <v>Ele</v>
      </c>
      <c r="P768" s="2"/>
    </row>
    <row r="769" spans="1:16" x14ac:dyDescent="0.35">
      <c r="A769" t="s">
        <v>779</v>
      </c>
      <c r="B769" t="s">
        <v>1222</v>
      </c>
      <c r="C769" t="s">
        <v>1225</v>
      </c>
      <c r="D769">
        <v>1108</v>
      </c>
      <c r="E769">
        <v>3</v>
      </c>
      <c r="F769" t="s">
        <v>1236</v>
      </c>
      <c r="G769" t="s">
        <v>1587</v>
      </c>
      <c r="H769" t="s">
        <v>1590</v>
      </c>
      <c r="I769">
        <v>3324</v>
      </c>
      <c r="J769">
        <v>48</v>
      </c>
      <c r="K769" t="s">
        <v>1594</v>
      </c>
      <c r="L769" t="s">
        <v>1599</v>
      </c>
      <c r="M769" t="str">
        <f>IF(Table1[[#This Row],[Quantity]]&gt;2,"Bulk Order","Normal Order")</f>
        <v>Bulk Order</v>
      </c>
      <c r="N769" t="str">
        <f>_xlfn.CONCAT(Table1[[#This Row],[Category]],"-",Table1[[#This Row],[City]])</f>
        <v>Fitness-Mumbai</v>
      </c>
      <c r="O769" t="str">
        <f>LEFT(Table1[[#This Row],[Category]],3)</f>
        <v>Fit</v>
      </c>
      <c r="P769" s="2"/>
    </row>
    <row r="770" spans="1:16" x14ac:dyDescent="0.35">
      <c r="A770" t="s">
        <v>780</v>
      </c>
      <c r="B770" t="s">
        <v>1216</v>
      </c>
      <c r="C770" t="s">
        <v>1224</v>
      </c>
      <c r="D770">
        <v>1590</v>
      </c>
      <c r="E770">
        <v>2</v>
      </c>
      <c r="F770" t="s">
        <v>1525</v>
      </c>
      <c r="G770" t="s">
        <v>1585</v>
      </c>
      <c r="H770" t="s">
        <v>1591</v>
      </c>
      <c r="I770">
        <v>3180</v>
      </c>
      <c r="J770">
        <v>35</v>
      </c>
      <c r="K770" t="s">
        <v>1595</v>
      </c>
      <c r="L770" t="s">
        <v>1598</v>
      </c>
      <c r="M770" t="str">
        <f>IF(Table1[[#This Row],[Quantity]]&gt;2,"Bulk Order","Normal Order")</f>
        <v>Normal Order</v>
      </c>
      <c r="N770" t="str">
        <f>_xlfn.CONCAT(Table1[[#This Row],[Category]],"-",Table1[[#This Row],[City]])</f>
        <v>Lifestyle-Kolkata</v>
      </c>
      <c r="O770" t="str">
        <f>LEFT(Table1[[#This Row],[Category]],3)</f>
        <v>Lif</v>
      </c>
      <c r="P770" s="2"/>
    </row>
    <row r="771" spans="1:16" x14ac:dyDescent="0.35">
      <c r="A771" t="s">
        <v>781</v>
      </c>
      <c r="B771" t="s">
        <v>1222</v>
      </c>
      <c r="C771" t="s">
        <v>1224</v>
      </c>
      <c r="D771">
        <v>3518</v>
      </c>
      <c r="E771">
        <v>1</v>
      </c>
      <c r="F771" t="s">
        <v>1445</v>
      </c>
      <c r="G771" t="s">
        <v>1588</v>
      </c>
      <c r="H771" t="s">
        <v>1593</v>
      </c>
      <c r="I771">
        <v>3518</v>
      </c>
      <c r="J771">
        <v>24</v>
      </c>
      <c r="K771" t="s">
        <v>1595</v>
      </c>
      <c r="L771" t="s">
        <v>1597</v>
      </c>
      <c r="M771" t="str">
        <f>IF(Table1[[#This Row],[Quantity]]&gt;2,"Bulk Order","Normal Order")</f>
        <v>Normal Order</v>
      </c>
      <c r="N771" t="str">
        <f>_xlfn.CONCAT(Table1[[#This Row],[Category]],"-",Table1[[#This Row],[City]])</f>
        <v>Lifestyle-Delhi</v>
      </c>
      <c r="O771" t="str">
        <f>LEFT(Table1[[#This Row],[Category]],3)</f>
        <v>Lif</v>
      </c>
      <c r="P771" s="2"/>
    </row>
    <row r="772" spans="1:16" x14ac:dyDescent="0.35">
      <c r="A772" t="s">
        <v>782</v>
      </c>
      <c r="B772" t="s">
        <v>1214</v>
      </c>
      <c r="C772" t="s">
        <v>1224</v>
      </c>
      <c r="D772">
        <v>4852</v>
      </c>
      <c r="E772">
        <v>1</v>
      </c>
      <c r="F772" t="s">
        <v>1270</v>
      </c>
      <c r="G772" t="s">
        <v>1585</v>
      </c>
      <c r="H772" t="s">
        <v>1590</v>
      </c>
      <c r="I772">
        <v>4852</v>
      </c>
      <c r="J772">
        <v>53</v>
      </c>
      <c r="K772" t="s">
        <v>1594</v>
      </c>
      <c r="L772" t="s">
        <v>1599</v>
      </c>
      <c r="M772" t="str">
        <f>IF(Table1[[#This Row],[Quantity]]&gt;2,"Bulk Order","Normal Order")</f>
        <v>Normal Order</v>
      </c>
      <c r="N772" t="str">
        <f>_xlfn.CONCAT(Table1[[#This Row],[Category]],"-",Table1[[#This Row],[City]])</f>
        <v>Lifestyle-Kolkata</v>
      </c>
      <c r="O772" t="str">
        <f>LEFT(Table1[[#This Row],[Category]],3)</f>
        <v>Lif</v>
      </c>
      <c r="P772" s="2"/>
    </row>
    <row r="773" spans="1:16" x14ac:dyDescent="0.35">
      <c r="A773" t="s">
        <v>783</v>
      </c>
      <c r="B773" t="s">
        <v>1219</v>
      </c>
      <c r="C773" t="s">
        <v>1224</v>
      </c>
      <c r="D773">
        <v>1779</v>
      </c>
      <c r="E773">
        <v>3</v>
      </c>
      <c r="F773" t="s">
        <v>1288</v>
      </c>
      <c r="G773" t="s">
        <v>1587</v>
      </c>
      <c r="H773" t="s">
        <v>1592</v>
      </c>
      <c r="I773">
        <v>5337</v>
      </c>
      <c r="J773">
        <v>86</v>
      </c>
      <c r="K773" t="s">
        <v>1594</v>
      </c>
      <c r="L773" t="s">
        <v>1598</v>
      </c>
      <c r="M773" t="str">
        <f>IF(Table1[[#This Row],[Quantity]]&gt;2,"Bulk Order","Normal Order")</f>
        <v>Bulk Order</v>
      </c>
      <c r="N773" t="str">
        <f>_xlfn.CONCAT(Table1[[#This Row],[Category]],"-",Table1[[#This Row],[City]])</f>
        <v>Lifestyle-Mumbai</v>
      </c>
      <c r="O773" t="str">
        <f>LEFT(Table1[[#This Row],[Category]],3)</f>
        <v>Lif</v>
      </c>
      <c r="P773" s="2"/>
    </row>
    <row r="774" spans="1:16" x14ac:dyDescent="0.35">
      <c r="A774" t="s">
        <v>784</v>
      </c>
      <c r="B774" t="s">
        <v>1217</v>
      </c>
      <c r="C774" t="s">
        <v>1225</v>
      </c>
      <c r="D774">
        <v>4979</v>
      </c>
      <c r="E774">
        <v>4</v>
      </c>
      <c r="F774" t="s">
        <v>1472</v>
      </c>
      <c r="G774" t="s">
        <v>1589</v>
      </c>
      <c r="H774" t="s">
        <v>1591</v>
      </c>
      <c r="I774">
        <v>19916</v>
      </c>
      <c r="J774">
        <v>31</v>
      </c>
      <c r="K774" t="s">
        <v>1595</v>
      </c>
      <c r="L774" t="s">
        <v>1599</v>
      </c>
      <c r="M774" t="str">
        <f>IF(Table1[[#This Row],[Quantity]]&gt;2,"Bulk Order","Normal Order")</f>
        <v>Bulk Order</v>
      </c>
      <c r="N774" t="str">
        <f>_xlfn.CONCAT(Table1[[#This Row],[Category]],"-",Table1[[#This Row],[City]])</f>
        <v>Fitness-Bangalore</v>
      </c>
      <c r="O774" t="str">
        <f>LEFT(Table1[[#This Row],[Category]],3)</f>
        <v>Fit</v>
      </c>
      <c r="P774" s="2"/>
    </row>
    <row r="775" spans="1:16" x14ac:dyDescent="0.35">
      <c r="A775" t="s">
        <v>785</v>
      </c>
      <c r="B775" t="s">
        <v>1213</v>
      </c>
      <c r="C775" t="s">
        <v>1228</v>
      </c>
      <c r="D775">
        <v>2871</v>
      </c>
      <c r="E775">
        <v>2</v>
      </c>
      <c r="F775" t="s">
        <v>1556</v>
      </c>
      <c r="G775" t="s">
        <v>1585</v>
      </c>
      <c r="H775" t="s">
        <v>1592</v>
      </c>
      <c r="I775">
        <v>5742</v>
      </c>
      <c r="J775">
        <v>25</v>
      </c>
      <c r="K775" t="s">
        <v>1595</v>
      </c>
      <c r="L775" t="s">
        <v>1598</v>
      </c>
      <c r="M775" t="str">
        <f>IF(Table1[[#This Row],[Quantity]]&gt;2,"Bulk Order","Normal Order")</f>
        <v>Normal Order</v>
      </c>
      <c r="N775" t="str">
        <f>_xlfn.CONCAT(Table1[[#This Row],[Category]],"-",Table1[[#This Row],[City]])</f>
        <v>Electronics-Kolkata</v>
      </c>
      <c r="O775" t="str">
        <f>LEFT(Table1[[#This Row],[Category]],3)</f>
        <v>Ele</v>
      </c>
      <c r="P775" s="2"/>
    </row>
    <row r="776" spans="1:16" x14ac:dyDescent="0.35">
      <c r="A776" t="s">
        <v>786</v>
      </c>
      <c r="B776" t="s">
        <v>1217</v>
      </c>
      <c r="C776" t="s">
        <v>1227</v>
      </c>
      <c r="D776">
        <v>4982</v>
      </c>
      <c r="E776">
        <v>4</v>
      </c>
      <c r="F776" t="s">
        <v>1506</v>
      </c>
      <c r="G776" t="s">
        <v>1588</v>
      </c>
      <c r="H776" t="s">
        <v>1590</v>
      </c>
      <c r="I776">
        <v>19928</v>
      </c>
      <c r="J776">
        <v>98</v>
      </c>
      <c r="K776" t="s">
        <v>1594</v>
      </c>
      <c r="L776" t="s">
        <v>1598</v>
      </c>
      <c r="M776" t="str">
        <f>IF(Table1[[#This Row],[Quantity]]&gt;2,"Bulk Order","Normal Order")</f>
        <v>Bulk Order</v>
      </c>
      <c r="N776" t="str">
        <f>_xlfn.CONCAT(Table1[[#This Row],[Category]],"-",Table1[[#This Row],[City]])</f>
        <v>Accessories-Delhi</v>
      </c>
      <c r="O776" t="str">
        <f>LEFT(Table1[[#This Row],[Category]],3)</f>
        <v>Acc</v>
      </c>
      <c r="P776" s="2"/>
    </row>
    <row r="777" spans="1:16" x14ac:dyDescent="0.35">
      <c r="A777" t="s">
        <v>787</v>
      </c>
      <c r="B777" t="s">
        <v>1216</v>
      </c>
      <c r="C777" t="s">
        <v>1228</v>
      </c>
      <c r="D777">
        <v>3029</v>
      </c>
      <c r="E777">
        <v>4</v>
      </c>
      <c r="F777" t="s">
        <v>1527</v>
      </c>
      <c r="G777" t="s">
        <v>1588</v>
      </c>
      <c r="H777" t="s">
        <v>1592</v>
      </c>
      <c r="I777">
        <v>12116</v>
      </c>
      <c r="J777">
        <v>75</v>
      </c>
      <c r="K777" t="s">
        <v>1594</v>
      </c>
      <c r="L777" t="s">
        <v>1599</v>
      </c>
      <c r="M777" t="str">
        <f>IF(Table1[[#This Row],[Quantity]]&gt;2,"Bulk Order","Normal Order")</f>
        <v>Bulk Order</v>
      </c>
      <c r="N777" t="str">
        <f>_xlfn.CONCAT(Table1[[#This Row],[Category]],"-",Table1[[#This Row],[City]])</f>
        <v>Electronics-Delhi</v>
      </c>
      <c r="O777" t="str">
        <f>LEFT(Table1[[#This Row],[Category]],3)</f>
        <v>Ele</v>
      </c>
      <c r="P777" s="2"/>
    </row>
    <row r="778" spans="1:16" x14ac:dyDescent="0.35">
      <c r="A778" t="s">
        <v>788</v>
      </c>
      <c r="B778" t="s">
        <v>1220</v>
      </c>
      <c r="C778" t="s">
        <v>1226</v>
      </c>
      <c r="D778">
        <v>2812</v>
      </c>
      <c r="E778">
        <v>4</v>
      </c>
      <c r="F778" t="s">
        <v>1434</v>
      </c>
      <c r="G778" t="s">
        <v>1589</v>
      </c>
      <c r="H778" t="s">
        <v>1592</v>
      </c>
      <c r="I778">
        <v>11248</v>
      </c>
      <c r="J778">
        <v>29</v>
      </c>
      <c r="K778" t="s">
        <v>1595</v>
      </c>
      <c r="L778" t="s">
        <v>1598</v>
      </c>
      <c r="M778" t="str">
        <f>IF(Table1[[#This Row],[Quantity]]&gt;2,"Bulk Order","Normal Order")</f>
        <v>Bulk Order</v>
      </c>
      <c r="N778" t="str">
        <f>_xlfn.CONCAT(Table1[[#This Row],[Category]],"-",Table1[[#This Row],[City]])</f>
        <v>Home-Bangalore</v>
      </c>
      <c r="O778" t="str">
        <f>LEFT(Table1[[#This Row],[Category]],3)</f>
        <v>Hom</v>
      </c>
      <c r="P778" s="2"/>
    </row>
    <row r="779" spans="1:16" x14ac:dyDescent="0.35">
      <c r="A779" t="s">
        <v>789</v>
      </c>
      <c r="B779" t="s">
        <v>1221</v>
      </c>
      <c r="C779" t="s">
        <v>1228</v>
      </c>
      <c r="D779">
        <v>667</v>
      </c>
      <c r="E779">
        <v>2</v>
      </c>
      <c r="F779" t="s">
        <v>1391</v>
      </c>
      <c r="G779" t="s">
        <v>1587</v>
      </c>
      <c r="H779" t="s">
        <v>1593</v>
      </c>
      <c r="I779">
        <v>1334</v>
      </c>
      <c r="J779">
        <v>39</v>
      </c>
      <c r="K779" t="s">
        <v>1595</v>
      </c>
      <c r="L779" t="s">
        <v>1599</v>
      </c>
      <c r="M779" t="str">
        <f>IF(Table1[[#This Row],[Quantity]]&gt;2,"Bulk Order","Normal Order")</f>
        <v>Normal Order</v>
      </c>
      <c r="N779" t="str">
        <f>_xlfn.CONCAT(Table1[[#This Row],[Category]],"-",Table1[[#This Row],[City]])</f>
        <v>Electronics-Mumbai</v>
      </c>
      <c r="O779" t="str">
        <f>LEFT(Table1[[#This Row],[Category]],3)</f>
        <v>Ele</v>
      </c>
      <c r="P779" s="2"/>
    </row>
    <row r="780" spans="1:16" x14ac:dyDescent="0.35">
      <c r="A780" t="s">
        <v>790</v>
      </c>
      <c r="B780" t="s">
        <v>1217</v>
      </c>
      <c r="C780" t="s">
        <v>1227</v>
      </c>
      <c r="D780">
        <v>524</v>
      </c>
      <c r="E780">
        <v>2</v>
      </c>
      <c r="F780" t="s">
        <v>1546</v>
      </c>
      <c r="G780" t="s">
        <v>1588</v>
      </c>
      <c r="H780" t="s">
        <v>1590</v>
      </c>
      <c r="I780">
        <v>1048</v>
      </c>
      <c r="J780">
        <v>70</v>
      </c>
      <c r="K780" t="s">
        <v>1595</v>
      </c>
      <c r="L780" t="s">
        <v>1599</v>
      </c>
      <c r="M780" t="str">
        <f>IF(Table1[[#This Row],[Quantity]]&gt;2,"Bulk Order","Normal Order")</f>
        <v>Normal Order</v>
      </c>
      <c r="N780" t="str">
        <f>_xlfn.CONCAT(Table1[[#This Row],[Category]],"-",Table1[[#This Row],[City]])</f>
        <v>Accessories-Delhi</v>
      </c>
      <c r="O780" t="str">
        <f>LEFT(Table1[[#This Row],[Category]],3)</f>
        <v>Acc</v>
      </c>
      <c r="P780" s="2"/>
    </row>
    <row r="781" spans="1:16" x14ac:dyDescent="0.35">
      <c r="A781" t="s">
        <v>791</v>
      </c>
      <c r="B781" t="s">
        <v>1212</v>
      </c>
      <c r="C781" t="s">
        <v>1226</v>
      </c>
      <c r="D781">
        <v>177</v>
      </c>
      <c r="E781">
        <v>2</v>
      </c>
      <c r="F781" t="s">
        <v>1328</v>
      </c>
      <c r="G781" t="s">
        <v>1586</v>
      </c>
      <c r="H781" t="s">
        <v>1592</v>
      </c>
      <c r="I781">
        <v>354</v>
      </c>
      <c r="J781">
        <v>26</v>
      </c>
      <c r="K781" t="s">
        <v>1594</v>
      </c>
      <c r="L781" t="s">
        <v>1598</v>
      </c>
      <c r="M781" t="str">
        <f>IF(Table1[[#This Row],[Quantity]]&gt;2,"Bulk Order","Normal Order")</f>
        <v>Normal Order</v>
      </c>
      <c r="N781" t="str">
        <f>_xlfn.CONCAT(Table1[[#This Row],[Category]],"-",Table1[[#This Row],[City]])</f>
        <v>Home-Hyderabad</v>
      </c>
      <c r="O781" t="str">
        <f>LEFT(Table1[[#This Row],[Category]],3)</f>
        <v>Hom</v>
      </c>
      <c r="P781" s="2"/>
    </row>
    <row r="782" spans="1:16" x14ac:dyDescent="0.35">
      <c r="A782" t="s">
        <v>792</v>
      </c>
      <c r="B782" t="s">
        <v>1219</v>
      </c>
      <c r="C782" t="s">
        <v>1228</v>
      </c>
      <c r="D782">
        <v>3524</v>
      </c>
      <c r="E782">
        <v>2</v>
      </c>
      <c r="F782" t="s">
        <v>1432</v>
      </c>
      <c r="G782" t="s">
        <v>1588</v>
      </c>
      <c r="H782" t="s">
        <v>1593</v>
      </c>
      <c r="I782">
        <v>7048</v>
      </c>
      <c r="J782">
        <v>98</v>
      </c>
      <c r="K782" t="s">
        <v>1595</v>
      </c>
      <c r="L782" t="s">
        <v>1598</v>
      </c>
      <c r="M782" t="str">
        <f>IF(Table1[[#This Row],[Quantity]]&gt;2,"Bulk Order","Normal Order")</f>
        <v>Normal Order</v>
      </c>
      <c r="N782" t="str">
        <f>_xlfn.CONCAT(Table1[[#This Row],[Category]],"-",Table1[[#This Row],[City]])</f>
        <v>Electronics-Delhi</v>
      </c>
      <c r="O782" t="str">
        <f>LEFT(Table1[[#This Row],[Category]],3)</f>
        <v>Ele</v>
      </c>
      <c r="P782" s="2"/>
    </row>
    <row r="783" spans="1:16" x14ac:dyDescent="0.35">
      <c r="A783" t="s">
        <v>793</v>
      </c>
      <c r="B783" t="s">
        <v>1216</v>
      </c>
      <c r="C783" t="s">
        <v>1224</v>
      </c>
      <c r="D783">
        <v>2557</v>
      </c>
      <c r="E783">
        <v>3</v>
      </c>
      <c r="F783" t="s">
        <v>1309</v>
      </c>
      <c r="G783" t="s">
        <v>1589</v>
      </c>
      <c r="H783" t="s">
        <v>1593</v>
      </c>
      <c r="I783">
        <v>7671</v>
      </c>
      <c r="J783">
        <v>56</v>
      </c>
      <c r="K783" t="s">
        <v>1595</v>
      </c>
      <c r="L783" t="s">
        <v>1598</v>
      </c>
      <c r="M783" t="str">
        <f>IF(Table1[[#This Row],[Quantity]]&gt;2,"Bulk Order","Normal Order")</f>
        <v>Bulk Order</v>
      </c>
      <c r="N783" t="str">
        <f>_xlfn.CONCAT(Table1[[#This Row],[Category]],"-",Table1[[#This Row],[City]])</f>
        <v>Lifestyle-Bangalore</v>
      </c>
      <c r="O783" t="str">
        <f>LEFT(Table1[[#This Row],[Category]],3)</f>
        <v>Lif</v>
      </c>
      <c r="P783" s="2"/>
    </row>
    <row r="784" spans="1:16" x14ac:dyDescent="0.35">
      <c r="A784" t="s">
        <v>794</v>
      </c>
      <c r="B784" t="s">
        <v>1222</v>
      </c>
      <c r="C784" t="s">
        <v>1227</v>
      </c>
      <c r="D784">
        <v>1930</v>
      </c>
      <c r="E784">
        <v>2</v>
      </c>
      <c r="F784" t="s">
        <v>1303</v>
      </c>
      <c r="G784" t="s">
        <v>1585</v>
      </c>
      <c r="H784" t="s">
        <v>1590</v>
      </c>
      <c r="I784">
        <v>3860</v>
      </c>
      <c r="J784">
        <v>55</v>
      </c>
      <c r="K784" t="s">
        <v>1594</v>
      </c>
      <c r="L784" t="s">
        <v>1598</v>
      </c>
      <c r="M784" t="str">
        <f>IF(Table1[[#This Row],[Quantity]]&gt;2,"Bulk Order","Normal Order")</f>
        <v>Normal Order</v>
      </c>
      <c r="N784" t="str">
        <f>_xlfn.CONCAT(Table1[[#This Row],[Category]],"-",Table1[[#This Row],[City]])</f>
        <v>Accessories-Kolkata</v>
      </c>
      <c r="O784" t="str">
        <f>LEFT(Table1[[#This Row],[Category]],3)</f>
        <v>Acc</v>
      </c>
      <c r="P784" s="2"/>
    </row>
    <row r="785" spans="1:16" x14ac:dyDescent="0.35">
      <c r="A785" t="s">
        <v>795</v>
      </c>
      <c r="B785" t="s">
        <v>1222</v>
      </c>
      <c r="C785" t="s">
        <v>1225</v>
      </c>
      <c r="D785">
        <v>181</v>
      </c>
      <c r="E785">
        <v>3</v>
      </c>
      <c r="F785" t="s">
        <v>1383</v>
      </c>
      <c r="G785" t="s">
        <v>1586</v>
      </c>
      <c r="H785" t="s">
        <v>1593</v>
      </c>
      <c r="I785">
        <v>543</v>
      </c>
      <c r="J785">
        <v>74</v>
      </c>
      <c r="K785" t="s">
        <v>1594</v>
      </c>
      <c r="L785" t="s">
        <v>1599</v>
      </c>
      <c r="M785" t="str">
        <f>IF(Table1[[#This Row],[Quantity]]&gt;2,"Bulk Order","Normal Order")</f>
        <v>Bulk Order</v>
      </c>
      <c r="N785" t="str">
        <f>_xlfn.CONCAT(Table1[[#This Row],[Category]],"-",Table1[[#This Row],[City]])</f>
        <v>Fitness-Hyderabad</v>
      </c>
      <c r="O785" t="str">
        <f>LEFT(Table1[[#This Row],[Category]],3)</f>
        <v>Fit</v>
      </c>
      <c r="P785" s="2"/>
    </row>
    <row r="786" spans="1:16" x14ac:dyDescent="0.35">
      <c r="A786" t="s">
        <v>796</v>
      </c>
      <c r="B786" t="s">
        <v>1219</v>
      </c>
      <c r="C786" t="s">
        <v>1226</v>
      </c>
      <c r="D786">
        <v>2875</v>
      </c>
      <c r="E786">
        <v>3</v>
      </c>
      <c r="F786" t="s">
        <v>1358</v>
      </c>
      <c r="G786" t="s">
        <v>1589</v>
      </c>
      <c r="H786" t="s">
        <v>1593</v>
      </c>
      <c r="I786">
        <v>8625</v>
      </c>
      <c r="J786">
        <v>62</v>
      </c>
      <c r="K786" t="s">
        <v>1595</v>
      </c>
      <c r="L786" t="s">
        <v>1599</v>
      </c>
      <c r="M786" t="str">
        <f>IF(Table1[[#This Row],[Quantity]]&gt;2,"Bulk Order","Normal Order")</f>
        <v>Bulk Order</v>
      </c>
      <c r="N786" t="str">
        <f>_xlfn.CONCAT(Table1[[#This Row],[Category]],"-",Table1[[#This Row],[City]])</f>
        <v>Home-Bangalore</v>
      </c>
      <c r="O786" t="str">
        <f>LEFT(Table1[[#This Row],[Category]],3)</f>
        <v>Hom</v>
      </c>
      <c r="P786" s="2"/>
    </row>
    <row r="787" spans="1:16" x14ac:dyDescent="0.35">
      <c r="A787" t="s">
        <v>797</v>
      </c>
      <c r="B787" t="s">
        <v>1215</v>
      </c>
      <c r="C787" t="s">
        <v>1224</v>
      </c>
      <c r="D787">
        <v>4561</v>
      </c>
      <c r="E787">
        <v>1</v>
      </c>
      <c r="F787" t="s">
        <v>1402</v>
      </c>
      <c r="G787" t="s">
        <v>1589</v>
      </c>
      <c r="H787" t="s">
        <v>1590</v>
      </c>
      <c r="I787">
        <v>4561</v>
      </c>
      <c r="J787">
        <v>95</v>
      </c>
      <c r="K787" t="s">
        <v>1595</v>
      </c>
      <c r="L787" t="s">
        <v>1599</v>
      </c>
      <c r="M787" t="str">
        <f>IF(Table1[[#This Row],[Quantity]]&gt;2,"Bulk Order","Normal Order")</f>
        <v>Normal Order</v>
      </c>
      <c r="N787" t="str">
        <f>_xlfn.CONCAT(Table1[[#This Row],[Category]],"-",Table1[[#This Row],[City]])</f>
        <v>Lifestyle-Bangalore</v>
      </c>
      <c r="O787" t="str">
        <f>LEFT(Table1[[#This Row],[Category]],3)</f>
        <v>Lif</v>
      </c>
      <c r="P787" s="2"/>
    </row>
    <row r="788" spans="1:16" x14ac:dyDescent="0.35">
      <c r="A788" t="s">
        <v>798</v>
      </c>
      <c r="B788" t="s">
        <v>1222</v>
      </c>
      <c r="C788" t="s">
        <v>1227</v>
      </c>
      <c r="D788">
        <v>1160</v>
      </c>
      <c r="E788">
        <v>4</v>
      </c>
      <c r="F788" t="s">
        <v>1263</v>
      </c>
      <c r="G788" t="s">
        <v>1587</v>
      </c>
      <c r="H788" t="s">
        <v>1593</v>
      </c>
      <c r="I788">
        <v>4640</v>
      </c>
      <c r="J788">
        <v>92</v>
      </c>
      <c r="K788" t="s">
        <v>1595</v>
      </c>
      <c r="L788" t="s">
        <v>1599</v>
      </c>
      <c r="M788" t="str">
        <f>IF(Table1[[#This Row],[Quantity]]&gt;2,"Bulk Order","Normal Order")</f>
        <v>Bulk Order</v>
      </c>
      <c r="N788" t="str">
        <f>_xlfn.CONCAT(Table1[[#This Row],[Category]],"-",Table1[[#This Row],[City]])</f>
        <v>Accessories-Mumbai</v>
      </c>
      <c r="O788" t="str">
        <f>LEFT(Table1[[#This Row],[Category]],3)</f>
        <v>Acc</v>
      </c>
      <c r="P788" s="2"/>
    </row>
    <row r="789" spans="1:16" x14ac:dyDescent="0.35">
      <c r="A789" t="s">
        <v>799</v>
      </c>
      <c r="B789" t="s">
        <v>1213</v>
      </c>
      <c r="C789" t="s">
        <v>1227</v>
      </c>
      <c r="D789">
        <v>3188</v>
      </c>
      <c r="E789">
        <v>4</v>
      </c>
      <c r="F789" t="s">
        <v>1409</v>
      </c>
      <c r="G789" t="s">
        <v>1589</v>
      </c>
      <c r="H789" t="s">
        <v>1592</v>
      </c>
      <c r="I789">
        <v>12752</v>
      </c>
      <c r="J789">
        <v>72</v>
      </c>
      <c r="K789" t="s">
        <v>1595</v>
      </c>
      <c r="L789" t="s">
        <v>1598</v>
      </c>
      <c r="M789" t="str">
        <f>IF(Table1[[#This Row],[Quantity]]&gt;2,"Bulk Order","Normal Order")</f>
        <v>Bulk Order</v>
      </c>
      <c r="N789" t="str">
        <f>_xlfn.CONCAT(Table1[[#This Row],[Category]],"-",Table1[[#This Row],[City]])</f>
        <v>Accessories-Bangalore</v>
      </c>
      <c r="O789" t="str">
        <f>LEFT(Table1[[#This Row],[Category]],3)</f>
        <v>Acc</v>
      </c>
      <c r="P789" s="2"/>
    </row>
    <row r="790" spans="1:16" x14ac:dyDescent="0.35">
      <c r="A790" t="s">
        <v>800</v>
      </c>
      <c r="B790" t="s">
        <v>1223</v>
      </c>
      <c r="C790" t="s">
        <v>1224</v>
      </c>
      <c r="D790">
        <v>1801</v>
      </c>
      <c r="E790">
        <v>2</v>
      </c>
      <c r="F790" t="s">
        <v>1350</v>
      </c>
      <c r="G790" t="s">
        <v>1584</v>
      </c>
      <c r="H790" t="s">
        <v>1590</v>
      </c>
      <c r="I790">
        <v>3602</v>
      </c>
      <c r="J790">
        <v>68</v>
      </c>
      <c r="K790" t="s">
        <v>1595</v>
      </c>
      <c r="L790" t="s">
        <v>1598</v>
      </c>
      <c r="M790" t="str">
        <f>IF(Table1[[#This Row],[Quantity]]&gt;2,"Bulk Order","Normal Order")</f>
        <v>Normal Order</v>
      </c>
      <c r="N790" t="str">
        <f>_xlfn.CONCAT(Table1[[#This Row],[Category]],"-",Table1[[#This Row],[City]])</f>
        <v>Lifestyle-Chennai</v>
      </c>
      <c r="O790" t="str">
        <f>LEFT(Table1[[#This Row],[Category]],3)</f>
        <v>Lif</v>
      </c>
      <c r="P790" s="2"/>
    </row>
    <row r="791" spans="1:16" x14ac:dyDescent="0.35">
      <c r="A791" t="s">
        <v>801</v>
      </c>
      <c r="B791" t="s">
        <v>1212</v>
      </c>
      <c r="C791" t="s">
        <v>1227</v>
      </c>
      <c r="D791">
        <v>1071</v>
      </c>
      <c r="E791">
        <v>4</v>
      </c>
      <c r="F791" t="s">
        <v>1557</v>
      </c>
      <c r="G791" t="s">
        <v>1587</v>
      </c>
      <c r="H791" t="s">
        <v>1591</v>
      </c>
      <c r="I791">
        <v>4284</v>
      </c>
      <c r="J791">
        <v>73</v>
      </c>
      <c r="K791" t="s">
        <v>1594</v>
      </c>
      <c r="L791" t="s">
        <v>1599</v>
      </c>
      <c r="M791" t="str">
        <f>IF(Table1[[#This Row],[Quantity]]&gt;2,"Bulk Order","Normal Order")</f>
        <v>Bulk Order</v>
      </c>
      <c r="N791" t="str">
        <f>_xlfn.CONCAT(Table1[[#This Row],[Category]],"-",Table1[[#This Row],[City]])</f>
        <v>Accessories-Mumbai</v>
      </c>
      <c r="O791" t="str">
        <f>LEFT(Table1[[#This Row],[Category]],3)</f>
        <v>Acc</v>
      </c>
      <c r="P791" s="2"/>
    </row>
    <row r="792" spans="1:16" x14ac:dyDescent="0.35">
      <c r="A792" t="s">
        <v>802</v>
      </c>
      <c r="B792" t="s">
        <v>1213</v>
      </c>
      <c r="C792" t="s">
        <v>1227</v>
      </c>
      <c r="D792">
        <v>1632</v>
      </c>
      <c r="E792">
        <v>2</v>
      </c>
      <c r="F792" t="s">
        <v>1521</v>
      </c>
      <c r="G792" t="s">
        <v>1584</v>
      </c>
      <c r="H792" t="s">
        <v>1592</v>
      </c>
      <c r="I792">
        <v>3264</v>
      </c>
      <c r="J792">
        <v>77</v>
      </c>
      <c r="K792" t="s">
        <v>1595</v>
      </c>
      <c r="L792" t="s">
        <v>1599</v>
      </c>
      <c r="M792" t="str">
        <f>IF(Table1[[#This Row],[Quantity]]&gt;2,"Bulk Order","Normal Order")</f>
        <v>Normal Order</v>
      </c>
      <c r="N792" t="str">
        <f>_xlfn.CONCAT(Table1[[#This Row],[Category]],"-",Table1[[#This Row],[City]])</f>
        <v>Accessories-Chennai</v>
      </c>
      <c r="O792" t="str">
        <f>LEFT(Table1[[#This Row],[Category]],3)</f>
        <v>Acc</v>
      </c>
      <c r="P792" s="2"/>
    </row>
    <row r="793" spans="1:16" x14ac:dyDescent="0.35">
      <c r="A793" t="s">
        <v>803</v>
      </c>
      <c r="B793" t="s">
        <v>1218</v>
      </c>
      <c r="C793" t="s">
        <v>1228</v>
      </c>
      <c r="D793">
        <v>3963</v>
      </c>
      <c r="E793">
        <v>1</v>
      </c>
      <c r="F793" t="s">
        <v>1253</v>
      </c>
      <c r="G793" t="s">
        <v>1588</v>
      </c>
      <c r="H793" t="s">
        <v>1590</v>
      </c>
      <c r="I793">
        <v>3963</v>
      </c>
      <c r="J793">
        <v>99</v>
      </c>
      <c r="K793" t="s">
        <v>1594</v>
      </c>
      <c r="L793" t="s">
        <v>1598</v>
      </c>
      <c r="M793" t="str">
        <f>IF(Table1[[#This Row],[Quantity]]&gt;2,"Bulk Order","Normal Order")</f>
        <v>Normal Order</v>
      </c>
      <c r="N793" t="str">
        <f>_xlfn.CONCAT(Table1[[#This Row],[Category]],"-",Table1[[#This Row],[City]])</f>
        <v>Electronics-Delhi</v>
      </c>
      <c r="O793" t="str">
        <f>LEFT(Table1[[#This Row],[Category]],3)</f>
        <v>Ele</v>
      </c>
      <c r="P793" s="2"/>
    </row>
    <row r="794" spans="1:16" x14ac:dyDescent="0.35">
      <c r="A794" t="s">
        <v>804</v>
      </c>
      <c r="B794" t="s">
        <v>1223</v>
      </c>
      <c r="C794" t="s">
        <v>1224</v>
      </c>
      <c r="D794">
        <v>4428</v>
      </c>
      <c r="E794">
        <v>2</v>
      </c>
      <c r="F794" t="s">
        <v>1445</v>
      </c>
      <c r="G794" t="s">
        <v>1585</v>
      </c>
      <c r="H794" t="s">
        <v>1593</v>
      </c>
      <c r="I794">
        <v>8856</v>
      </c>
      <c r="J794">
        <v>24</v>
      </c>
      <c r="K794" t="s">
        <v>1596</v>
      </c>
      <c r="L794" t="s">
        <v>1599</v>
      </c>
      <c r="M794" t="str">
        <f>IF(Table1[[#This Row],[Quantity]]&gt;2,"Bulk Order","Normal Order")</f>
        <v>Normal Order</v>
      </c>
      <c r="N794" t="str">
        <f>_xlfn.CONCAT(Table1[[#This Row],[Category]],"-",Table1[[#This Row],[City]])</f>
        <v>Lifestyle-Kolkata</v>
      </c>
      <c r="O794" t="str">
        <f>LEFT(Table1[[#This Row],[Category]],3)</f>
        <v>Lif</v>
      </c>
      <c r="P794" s="2"/>
    </row>
    <row r="795" spans="1:16" x14ac:dyDescent="0.35">
      <c r="A795" t="s">
        <v>805</v>
      </c>
      <c r="B795" t="s">
        <v>1217</v>
      </c>
      <c r="C795" t="s">
        <v>1225</v>
      </c>
      <c r="D795">
        <v>3544</v>
      </c>
      <c r="E795">
        <v>2</v>
      </c>
      <c r="F795" t="s">
        <v>1254</v>
      </c>
      <c r="G795" t="s">
        <v>1589</v>
      </c>
      <c r="H795" t="s">
        <v>1592</v>
      </c>
      <c r="I795">
        <v>7088</v>
      </c>
      <c r="J795">
        <v>70</v>
      </c>
      <c r="K795" t="s">
        <v>1595</v>
      </c>
      <c r="L795" t="s">
        <v>1599</v>
      </c>
      <c r="M795" t="str">
        <f>IF(Table1[[#This Row],[Quantity]]&gt;2,"Bulk Order","Normal Order")</f>
        <v>Normal Order</v>
      </c>
      <c r="N795" t="str">
        <f>_xlfn.CONCAT(Table1[[#This Row],[Category]],"-",Table1[[#This Row],[City]])</f>
        <v>Fitness-Bangalore</v>
      </c>
      <c r="O795" t="str">
        <f>LEFT(Table1[[#This Row],[Category]],3)</f>
        <v>Fit</v>
      </c>
      <c r="P795" s="2"/>
    </row>
    <row r="796" spans="1:16" x14ac:dyDescent="0.35">
      <c r="A796" t="s">
        <v>806</v>
      </c>
      <c r="B796" t="s">
        <v>1216</v>
      </c>
      <c r="C796" t="s">
        <v>1226</v>
      </c>
      <c r="D796">
        <v>4455</v>
      </c>
      <c r="E796">
        <v>1</v>
      </c>
      <c r="F796" t="s">
        <v>1558</v>
      </c>
      <c r="G796" t="s">
        <v>1589</v>
      </c>
      <c r="H796" t="s">
        <v>1593</v>
      </c>
      <c r="I796">
        <v>4455</v>
      </c>
      <c r="J796">
        <v>44</v>
      </c>
      <c r="K796" t="s">
        <v>1595</v>
      </c>
      <c r="L796" t="s">
        <v>1598</v>
      </c>
      <c r="M796" t="str">
        <f>IF(Table1[[#This Row],[Quantity]]&gt;2,"Bulk Order","Normal Order")</f>
        <v>Normal Order</v>
      </c>
      <c r="N796" t="str">
        <f>_xlfn.CONCAT(Table1[[#This Row],[Category]],"-",Table1[[#This Row],[City]])</f>
        <v>Home-Bangalore</v>
      </c>
      <c r="O796" t="str">
        <f>LEFT(Table1[[#This Row],[Category]],3)</f>
        <v>Hom</v>
      </c>
      <c r="P796" s="2"/>
    </row>
    <row r="797" spans="1:16" x14ac:dyDescent="0.35">
      <c r="A797" t="s">
        <v>807</v>
      </c>
      <c r="B797" t="s">
        <v>1220</v>
      </c>
      <c r="C797" t="s">
        <v>1227</v>
      </c>
      <c r="D797">
        <v>4983</v>
      </c>
      <c r="E797">
        <v>1</v>
      </c>
      <c r="F797" t="s">
        <v>1342</v>
      </c>
      <c r="G797" t="s">
        <v>1589</v>
      </c>
      <c r="H797" t="s">
        <v>1593</v>
      </c>
      <c r="I797">
        <v>4983</v>
      </c>
      <c r="J797">
        <v>82</v>
      </c>
      <c r="K797" t="s">
        <v>1595</v>
      </c>
      <c r="L797" t="s">
        <v>1599</v>
      </c>
      <c r="M797" t="str">
        <f>IF(Table1[[#This Row],[Quantity]]&gt;2,"Bulk Order","Normal Order")</f>
        <v>Normal Order</v>
      </c>
      <c r="N797" t="str">
        <f>_xlfn.CONCAT(Table1[[#This Row],[Category]],"-",Table1[[#This Row],[City]])</f>
        <v>Accessories-Bangalore</v>
      </c>
      <c r="O797" t="str">
        <f>LEFT(Table1[[#This Row],[Category]],3)</f>
        <v>Acc</v>
      </c>
      <c r="P797" s="2"/>
    </row>
    <row r="798" spans="1:16" x14ac:dyDescent="0.35">
      <c r="A798" t="s">
        <v>808</v>
      </c>
      <c r="B798" t="s">
        <v>1216</v>
      </c>
      <c r="C798" t="s">
        <v>1228</v>
      </c>
      <c r="D798">
        <v>4129</v>
      </c>
      <c r="E798">
        <v>3</v>
      </c>
      <c r="F798" t="s">
        <v>1253</v>
      </c>
      <c r="G798" t="s">
        <v>1589</v>
      </c>
      <c r="H798" t="s">
        <v>1592</v>
      </c>
      <c r="I798">
        <v>12387</v>
      </c>
      <c r="J798">
        <v>51</v>
      </c>
      <c r="K798" t="s">
        <v>1595</v>
      </c>
      <c r="L798" t="s">
        <v>1599</v>
      </c>
      <c r="M798" t="str">
        <f>IF(Table1[[#This Row],[Quantity]]&gt;2,"Bulk Order","Normal Order")</f>
        <v>Bulk Order</v>
      </c>
      <c r="N798" t="str">
        <f>_xlfn.CONCAT(Table1[[#This Row],[Category]],"-",Table1[[#This Row],[City]])</f>
        <v>Electronics-Bangalore</v>
      </c>
      <c r="O798" t="str">
        <f>LEFT(Table1[[#This Row],[Category]],3)</f>
        <v>Ele</v>
      </c>
      <c r="P798" s="2"/>
    </row>
    <row r="799" spans="1:16" x14ac:dyDescent="0.35">
      <c r="A799" t="s">
        <v>809</v>
      </c>
      <c r="B799" t="s">
        <v>1214</v>
      </c>
      <c r="C799" t="s">
        <v>1228</v>
      </c>
      <c r="D799">
        <v>4028</v>
      </c>
      <c r="E799">
        <v>3</v>
      </c>
      <c r="F799" t="s">
        <v>1273</v>
      </c>
      <c r="G799" t="s">
        <v>1584</v>
      </c>
      <c r="H799" t="s">
        <v>1591</v>
      </c>
      <c r="I799">
        <v>12084</v>
      </c>
      <c r="J799">
        <v>55</v>
      </c>
      <c r="K799" t="s">
        <v>1596</v>
      </c>
      <c r="L799" t="s">
        <v>1597</v>
      </c>
      <c r="M799" t="str">
        <f>IF(Table1[[#This Row],[Quantity]]&gt;2,"Bulk Order","Normal Order")</f>
        <v>Bulk Order</v>
      </c>
      <c r="N799" t="str">
        <f>_xlfn.CONCAT(Table1[[#This Row],[Category]],"-",Table1[[#This Row],[City]])</f>
        <v>Electronics-Chennai</v>
      </c>
      <c r="O799" t="str">
        <f>LEFT(Table1[[#This Row],[Category]],3)</f>
        <v>Ele</v>
      </c>
      <c r="P799" s="2"/>
    </row>
    <row r="800" spans="1:16" x14ac:dyDescent="0.35">
      <c r="A800" t="s">
        <v>810</v>
      </c>
      <c r="B800" t="s">
        <v>1214</v>
      </c>
      <c r="C800" t="s">
        <v>1224</v>
      </c>
      <c r="D800">
        <v>3038</v>
      </c>
      <c r="E800">
        <v>2</v>
      </c>
      <c r="F800" t="s">
        <v>1488</v>
      </c>
      <c r="G800" t="s">
        <v>1585</v>
      </c>
      <c r="H800" t="s">
        <v>1590</v>
      </c>
      <c r="I800">
        <v>6076</v>
      </c>
      <c r="J800">
        <v>78</v>
      </c>
      <c r="K800" t="s">
        <v>1596</v>
      </c>
      <c r="L800" t="s">
        <v>1599</v>
      </c>
      <c r="M800" t="str">
        <f>IF(Table1[[#This Row],[Quantity]]&gt;2,"Bulk Order","Normal Order")</f>
        <v>Normal Order</v>
      </c>
      <c r="N800" t="str">
        <f>_xlfn.CONCAT(Table1[[#This Row],[Category]],"-",Table1[[#This Row],[City]])</f>
        <v>Lifestyle-Kolkata</v>
      </c>
      <c r="O800" t="str">
        <f>LEFT(Table1[[#This Row],[Category]],3)</f>
        <v>Lif</v>
      </c>
      <c r="P800" s="2"/>
    </row>
    <row r="801" spans="1:16" x14ac:dyDescent="0.35">
      <c r="A801" t="s">
        <v>811</v>
      </c>
      <c r="B801" t="s">
        <v>1220</v>
      </c>
      <c r="C801" t="s">
        <v>1224</v>
      </c>
      <c r="D801">
        <v>861</v>
      </c>
      <c r="E801">
        <v>3</v>
      </c>
      <c r="F801" t="s">
        <v>1284</v>
      </c>
      <c r="G801" t="s">
        <v>1584</v>
      </c>
      <c r="H801" t="s">
        <v>1593</v>
      </c>
      <c r="I801">
        <v>2583</v>
      </c>
      <c r="J801">
        <v>55</v>
      </c>
      <c r="K801" t="s">
        <v>1595</v>
      </c>
      <c r="L801" t="s">
        <v>1598</v>
      </c>
      <c r="M801" t="str">
        <f>IF(Table1[[#This Row],[Quantity]]&gt;2,"Bulk Order","Normal Order")</f>
        <v>Bulk Order</v>
      </c>
      <c r="N801" t="str">
        <f>_xlfn.CONCAT(Table1[[#This Row],[Category]],"-",Table1[[#This Row],[City]])</f>
        <v>Lifestyle-Chennai</v>
      </c>
      <c r="O801" t="str">
        <f>LEFT(Table1[[#This Row],[Category]],3)</f>
        <v>Lif</v>
      </c>
      <c r="P801" s="2"/>
    </row>
    <row r="802" spans="1:16" x14ac:dyDescent="0.35">
      <c r="A802" t="s">
        <v>812</v>
      </c>
      <c r="B802" t="s">
        <v>1221</v>
      </c>
      <c r="C802" t="s">
        <v>1227</v>
      </c>
      <c r="D802">
        <v>4232</v>
      </c>
      <c r="E802">
        <v>1</v>
      </c>
      <c r="F802" t="s">
        <v>1267</v>
      </c>
      <c r="G802" t="s">
        <v>1585</v>
      </c>
      <c r="H802" t="s">
        <v>1590</v>
      </c>
      <c r="I802">
        <v>4232</v>
      </c>
      <c r="J802">
        <v>75</v>
      </c>
      <c r="K802" t="s">
        <v>1595</v>
      </c>
      <c r="L802" t="s">
        <v>1599</v>
      </c>
      <c r="M802" t="str">
        <f>IF(Table1[[#This Row],[Quantity]]&gt;2,"Bulk Order","Normal Order")</f>
        <v>Normal Order</v>
      </c>
      <c r="N802" t="str">
        <f>_xlfn.CONCAT(Table1[[#This Row],[Category]],"-",Table1[[#This Row],[City]])</f>
        <v>Accessories-Kolkata</v>
      </c>
      <c r="O802" t="str">
        <f>LEFT(Table1[[#This Row],[Category]],3)</f>
        <v>Acc</v>
      </c>
      <c r="P802" s="2"/>
    </row>
    <row r="803" spans="1:16" x14ac:dyDescent="0.35">
      <c r="A803" t="s">
        <v>813</v>
      </c>
      <c r="B803" t="s">
        <v>1212</v>
      </c>
      <c r="C803" t="s">
        <v>1225</v>
      </c>
      <c r="D803">
        <v>3048</v>
      </c>
      <c r="E803">
        <v>4</v>
      </c>
      <c r="F803" t="s">
        <v>1442</v>
      </c>
      <c r="G803" t="s">
        <v>1584</v>
      </c>
      <c r="H803" t="s">
        <v>1590</v>
      </c>
      <c r="I803">
        <v>12192</v>
      </c>
      <c r="J803">
        <v>78</v>
      </c>
      <c r="K803" t="s">
        <v>1595</v>
      </c>
      <c r="L803" t="s">
        <v>1599</v>
      </c>
      <c r="M803" t="str">
        <f>IF(Table1[[#This Row],[Quantity]]&gt;2,"Bulk Order","Normal Order")</f>
        <v>Bulk Order</v>
      </c>
      <c r="N803" t="str">
        <f>_xlfn.CONCAT(Table1[[#This Row],[Category]],"-",Table1[[#This Row],[City]])</f>
        <v>Fitness-Chennai</v>
      </c>
      <c r="O803" t="str">
        <f>LEFT(Table1[[#This Row],[Category]],3)</f>
        <v>Fit</v>
      </c>
      <c r="P803" s="2"/>
    </row>
    <row r="804" spans="1:16" x14ac:dyDescent="0.35">
      <c r="A804" t="s">
        <v>814</v>
      </c>
      <c r="B804" t="s">
        <v>1221</v>
      </c>
      <c r="C804" t="s">
        <v>1224</v>
      </c>
      <c r="D804">
        <v>307</v>
      </c>
      <c r="E804">
        <v>1</v>
      </c>
      <c r="F804" t="s">
        <v>1321</v>
      </c>
      <c r="G804" t="s">
        <v>1586</v>
      </c>
      <c r="H804" t="s">
        <v>1591</v>
      </c>
      <c r="I804">
        <v>307</v>
      </c>
      <c r="J804">
        <v>66</v>
      </c>
      <c r="K804" t="s">
        <v>1594</v>
      </c>
      <c r="L804" t="s">
        <v>1599</v>
      </c>
      <c r="M804" t="str">
        <f>IF(Table1[[#This Row],[Quantity]]&gt;2,"Bulk Order","Normal Order")</f>
        <v>Normal Order</v>
      </c>
      <c r="N804" t="str">
        <f>_xlfn.CONCAT(Table1[[#This Row],[Category]],"-",Table1[[#This Row],[City]])</f>
        <v>Lifestyle-Hyderabad</v>
      </c>
      <c r="O804" t="str">
        <f>LEFT(Table1[[#This Row],[Category]],3)</f>
        <v>Lif</v>
      </c>
      <c r="P804" s="2"/>
    </row>
    <row r="805" spans="1:16" x14ac:dyDescent="0.35">
      <c r="A805" t="s">
        <v>815</v>
      </c>
      <c r="B805" t="s">
        <v>1223</v>
      </c>
      <c r="C805" t="s">
        <v>1225</v>
      </c>
      <c r="D805">
        <v>4652</v>
      </c>
      <c r="E805">
        <v>4</v>
      </c>
      <c r="F805" t="s">
        <v>1393</v>
      </c>
      <c r="G805" t="s">
        <v>1585</v>
      </c>
      <c r="H805" t="s">
        <v>1593</v>
      </c>
      <c r="I805">
        <v>18608</v>
      </c>
      <c r="J805">
        <v>58</v>
      </c>
      <c r="K805" t="s">
        <v>1595</v>
      </c>
      <c r="L805" t="s">
        <v>1599</v>
      </c>
      <c r="M805" t="str">
        <f>IF(Table1[[#This Row],[Quantity]]&gt;2,"Bulk Order","Normal Order")</f>
        <v>Bulk Order</v>
      </c>
      <c r="N805" t="str">
        <f>_xlfn.CONCAT(Table1[[#This Row],[Category]],"-",Table1[[#This Row],[City]])</f>
        <v>Fitness-Kolkata</v>
      </c>
      <c r="O805" t="str">
        <f>LEFT(Table1[[#This Row],[Category]],3)</f>
        <v>Fit</v>
      </c>
      <c r="P805" s="2"/>
    </row>
    <row r="806" spans="1:16" x14ac:dyDescent="0.35">
      <c r="A806" t="s">
        <v>816</v>
      </c>
      <c r="B806" t="s">
        <v>1217</v>
      </c>
      <c r="C806" t="s">
        <v>1226</v>
      </c>
      <c r="D806">
        <v>1526</v>
      </c>
      <c r="E806">
        <v>1</v>
      </c>
      <c r="F806" t="s">
        <v>1263</v>
      </c>
      <c r="G806" t="s">
        <v>1585</v>
      </c>
      <c r="H806" t="s">
        <v>1592</v>
      </c>
      <c r="I806">
        <v>1526</v>
      </c>
      <c r="J806">
        <v>62</v>
      </c>
      <c r="K806" t="s">
        <v>1595</v>
      </c>
      <c r="L806" t="s">
        <v>1598</v>
      </c>
      <c r="M806" t="str">
        <f>IF(Table1[[#This Row],[Quantity]]&gt;2,"Bulk Order","Normal Order")</f>
        <v>Normal Order</v>
      </c>
      <c r="N806" t="str">
        <f>_xlfn.CONCAT(Table1[[#This Row],[Category]],"-",Table1[[#This Row],[City]])</f>
        <v>Home-Kolkata</v>
      </c>
      <c r="O806" t="str">
        <f>LEFT(Table1[[#This Row],[Category]],3)</f>
        <v>Hom</v>
      </c>
      <c r="P806" s="2"/>
    </row>
    <row r="807" spans="1:16" x14ac:dyDescent="0.35">
      <c r="A807" t="s">
        <v>817</v>
      </c>
      <c r="B807" t="s">
        <v>1213</v>
      </c>
      <c r="C807" t="s">
        <v>1228</v>
      </c>
      <c r="D807">
        <v>3369</v>
      </c>
      <c r="E807">
        <v>1</v>
      </c>
      <c r="F807" t="s">
        <v>1398</v>
      </c>
      <c r="G807" t="s">
        <v>1585</v>
      </c>
      <c r="H807" t="s">
        <v>1591</v>
      </c>
      <c r="I807">
        <v>3369</v>
      </c>
      <c r="J807">
        <v>84</v>
      </c>
      <c r="K807" t="s">
        <v>1596</v>
      </c>
      <c r="L807" t="s">
        <v>1598</v>
      </c>
      <c r="M807" t="str">
        <f>IF(Table1[[#This Row],[Quantity]]&gt;2,"Bulk Order","Normal Order")</f>
        <v>Normal Order</v>
      </c>
      <c r="N807" t="str">
        <f>_xlfn.CONCAT(Table1[[#This Row],[Category]],"-",Table1[[#This Row],[City]])</f>
        <v>Electronics-Kolkata</v>
      </c>
      <c r="O807" t="str">
        <f>LEFT(Table1[[#This Row],[Category]],3)</f>
        <v>Ele</v>
      </c>
      <c r="P807" s="2"/>
    </row>
    <row r="808" spans="1:16" x14ac:dyDescent="0.35">
      <c r="A808" t="s">
        <v>818</v>
      </c>
      <c r="B808" t="s">
        <v>1217</v>
      </c>
      <c r="C808" t="s">
        <v>1228</v>
      </c>
      <c r="D808">
        <v>4858</v>
      </c>
      <c r="E808">
        <v>1</v>
      </c>
      <c r="F808" t="s">
        <v>1350</v>
      </c>
      <c r="G808" t="s">
        <v>1585</v>
      </c>
      <c r="H808" t="s">
        <v>1590</v>
      </c>
      <c r="I808">
        <v>4858</v>
      </c>
      <c r="J808">
        <v>56</v>
      </c>
      <c r="K808" t="s">
        <v>1595</v>
      </c>
      <c r="L808" t="s">
        <v>1597</v>
      </c>
      <c r="M808" t="str">
        <f>IF(Table1[[#This Row],[Quantity]]&gt;2,"Bulk Order","Normal Order")</f>
        <v>Normal Order</v>
      </c>
      <c r="N808" t="str">
        <f>_xlfn.CONCAT(Table1[[#This Row],[Category]],"-",Table1[[#This Row],[City]])</f>
        <v>Electronics-Kolkata</v>
      </c>
      <c r="O808" t="str">
        <f>LEFT(Table1[[#This Row],[Category]],3)</f>
        <v>Ele</v>
      </c>
      <c r="P808" s="2"/>
    </row>
    <row r="809" spans="1:16" x14ac:dyDescent="0.35">
      <c r="A809" t="s">
        <v>819</v>
      </c>
      <c r="B809" t="s">
        <v>1213</v>
      </c>
      <c r="C809" t="s">
        <v>1224</v>
      </c>
      <c r="D809">
        <v>2579</v>
      </c>
      <c r="E809">
        <v>2</v>
      </c>
      <c r="F809" t="s">
        <v>1411</v>
      </c>
      <c r="G809" t="s">
        <v>1588</v>
      </c>
      <c r="H809" t="s">
        <v>1591</v>
      </c>
      <c r="I809">
        <v>5158</v>
      </c>
      <c r="J809">
        <v>21</v>
      </c>
      <c r="K809" t="s">
        <v>1594</v>
      </c>
      <c r="L809" t="s">
        <v>1597</v>
      </c>
      <c r="M809" t="str">
        <f>IF(Table1[[#This Row],[Quantity]]&gt;2,"Bulk Order","Normal Order")</f>
        <v>Normal Order</v>
      </c>
      <c r="N809" t="str">
        <f>_xlfn.CONCAT(Table1[[#This Row],[Category]],"-",Table1[[#This Row],[City]])</f>
        <v>Lifestyle-Delhi</v>
      </c>
      <c r="O809" t="str">
        <f>LEFT(Table1[[#This Row],[Category]],3)</f>
        <v>Lif</v>
      </c>
      <c r="P809" s="2"/>
    </row>
    <row r="810" spans="1:16" x14ac:dyDescent="0.35">
      <c r="A810" t="s">
        <v>820</v>
      </c>
      <c r="B810" t="s">
        <v>1223</v>
      </c>
      <c r="C810" t="s">
        <v>1228</v>
      </c>
      <c r="D810">
        <v>4660</v>
      </c>
      <c r="E810">
        <v>1</v>
      </c>
      <c r="F810" t="s">
        <v>1559</v>
      </c>
      <c r="G810" t="s">
        <v>1588</v>
      </c>
      <c r="H810" t="s">
        <v>1590</v>
      </c>
      <c r="I810">
        <v>4660</v>
      </c>
      <c r="J810">
        <v>71</v>
      </c>
      <c r="K810" t="s">
        <v>1595</v>
      </c>
      <c r="L810" t="s">
        <v>1599</v>
      </c>
      <c r="M810" t="str">
        <f>IF(Table1[[#This Row],[Quantity]]&gt;2,"Bulk Order","Normal Order")</f>
        <v>Normal Order</v>
      </c>
      <c r="N810" t="str">
        <f>_xlfn.CONCAT(Table1[[#This Row],[Category]],"-",Table1[[#This Row],[City]])</f>
        <v>Electronics-Delhi</v>
      </c>
      <c r="O810" t="str">
        <f>LEFT(Table1[[#This Row],[Category]],3)</f>
        <v>Ele</v>
      </c>
      <c r="P810" s="2"/>
    </row>
    <row r="811" spans="1:16" x14ac:dyDescent="0.35">
      <c r="A811" t="s">
        <v>821</v>
      </c>
      <c r="B811" t="s">
        <v>1213</v>
      </c>
      <c r="C811" t="s">
        <v>1227</v>
      </c>
      <c r="D811">
        <v>4531</v>
      </c>
      <c r="E811">
        <v>3</v>
      </c>
      <c r="F811" t="s">
        <v>1312</v>
      </c>
      <c r="G811" t="s">
        <v>1589</v>
      </c>
      <c r="H811" t="s">
        <v>1593</v>
      </c>
      <c r="I811">
        <v>13593</v>
      </c>
      <c r="J811">
        <v>27</v>
      </c>
      <c r="K811" t="s">
        <v>1596</v>
      </c>
      <c r="L811" t="s">
        <v>1598</v>
      </c>
      <c r="M811" t="str">
        <f>IF(Table1[[#This Row],[Quantity]]&gt;2,"Bulk Order","Normal Order")</f>
        <v>Bulk Order</v>
      </c>
      <c r="N811" t="str">
        <f>_xlfn.CONCAT(Table1[[#This Row],[Category]],"-",Table1[[#This Row],[City]])</f>
        <v>Accessories-Bangalore</v>
      </c>
      <c r="O811" t="str">
        <f>LEFT(Table1[[#This Row],[Category]],3)</f>
        <v>Acc</v>
      </c>
      <c r="P811" s="2"/>
    </row>
    <row r="812" spans="1:16" x14ac:dyDescent="0.35">
      <c r="A812" t="s">
        <v>822</v>
      </c>
      <c r="B812" t="s">
        <v>1223</v>
      </c>
      <c r="C812" t="s">
        <v>1225</v>
      </c>
      <c r="D812">
        <v>3378</v>
      </c>
      <c r="E812">
        <v>1</v>
      </c>
      <c r="F812" t="s">
        <v>1441</v>
      </c>
      <c r="G812" t="s">
        <v>1586</v>
      </c>
      <c r="H812" t="s">
        <v>1592</v>
      </c>
      <c r="I812">
        <v>3378</v>
      </c>
      <c r="J812">
        <v>83</v>
      </c>
      <c r="K812" t="s">
        <v>1596</v>
      </c>
      <c r="L812" t="s">
        <v>1599</v>
      </c>
      <c r="M812" t="str">
        <f>IF(Table1[[#This Row],[Quantity]]&gt;2,"Bulk Order","Normal Order")</f>
        <v>Normal Order</v>
      </c>
      <c r="N812" t="str">
        <f>_xlfn.CONCAT(Table1[[#This Row],[Category]],"-",Table1[[#This Row],[City]])</f>
        <v>Fitness-Hyderabad</v>
      </c>
      <c r="O812" t="str">
        <f>LEFT(Table1[[#This Row],[Category]],3)</f>
        <v>Fit</v>
      </c>
      <c r="P812" s="2"/>
    </row>
    <row r="813" spans="1:16" x14ac:dyDescent="0.35">
      <c r="A813" t="s">
        <v>823</v>
      </c>
      <c r="B813" t="s">
        <v>1212</v>
      </c>
      <c r="C813" t="s">
        <v>1226</v>
      </c>
      <c r="D813">
        <v>821</v>
      </c>
      <c r="E813">
        <v>1</v>
      </c>
      <c r="F813" t="s">
        <v>1443</v>
      </c>
      <c r="G813" t="s">
        <v>1586</v>
      </c>
      <c r="H813" t="s">
        <v>1592</v>
      </c>
      <c r="I813">
        <v>821</v>
      </c>
      <c r="J813">
        <v>54</v>
      </c>
      <c r="K813" t="s">
        <v>1595</v>
      </c>
      <c r="L813" t="s">
        <v>1598</v>
      </c>
      <c r="M813" t="str">
        <f>IF(Table1[[#This Row],[Quantity]]&gt;2,"Bulk Order","Normal Order")</f>
        <v>Normal Order</v>
      </c>
      <c r="N813" t="str">
        <f>_xlfn.CONCAT(Table1[[#This Row],[Category]],"-",Table1[[#This Row],[City]])</f>
        <v>Home-Hyderabad</v>
      </c>
      <c r="O813" t="str">
        <f>LEFT(Table1[[#This Row],[Category]],3)</f>
        <v>Hom</v>
      </c>
      <c r="P813" s="2"/>
    </row>
    <row r="814" spans="1:16" x14ac:dyDescent="0.35">
      <c r="A814" t="s">
        <v>824</v>
      </c>
      <c r="B814" t="s">
        <v>1221</v>
      </c>
      <c r="C814" t="s">
        <v>1228</v>
      </c>
      <c r="D814">
        <v>2365</v>
      </c>
      <c r="E814">
        <v>3</v>
      </c>
      <c r="F814" t="s">
        <v>1541</v>
      </c>
      <c r="G814" t="s">
        <v>1585</v>
      </c>
      <c r="H814" t="s">
        <v>1591</v>
      </c>
      <c r="I814">
        <v>7095</v>
      </c>
      <c r="J814">
        <v>89</v>
      </c>
      <c r="K814" t="s">
        <v>1595</v>
      </c>
      <c r="L814" t="s">
        <v>1599</v>
      </c>
      <c r="M814" t="str">
        <f>IF(Table1[[#This Row],[Quantity]]&gt;2,"Bulk Order","Normal Order")</f>
        <v>Bulk Order</v>
      </c>
      <c r="N814" t="str">
        <f>_xlfn.CONCAT(Table1[[#This Row],[Category]],"-",Table1[[#This Row],[City]])</f>
        <v>Electronics-Kolkata</v>
      </c>
      <c r="O814" t="str">
        <f>LEFT(Table1[[#This Row],[Category]],3)</f>
        <v>Ele</v>
      </c>
      <c r="P814" s="2"/>
    </row>
    <row r="815" spans="1:16" x14ac:dyDescent="0.35">
      <c r="A815" t="s">
        <v>825</v>
      </c>
      <c r="B815" t="s">
        <v>1214</v>
      </c>
      <c r="C815" t="s">
        <v>1224</v>
      </c>
      <c r="D815">
        <v>3490</v>
      </c>
      <c r="E815">
        <v>3</v>
      </c>
      <c r="F815" t="s">
        <v>1443</v>
      </c>
      <c r="G815" t="s">
        <v>1584</v>
      </c>
      <c r="H815" t="s">
        <v>1593</v>
      </c>
      <c r="I815">
        <v>10470</v>
      </c>
      <c r="J815">
        <v>67</v>
      </c>
      <c r="K815" t="s">
        <v>1595</v>
      </c>
      <c r="L815" t="s">
        <v>1599</v>
      </c>
      <c r="M815" t="str">
        <f>IF(Table1[[#This Row],[Quantity]]&gt;2,"Bulk Order","Normal Order")</f>
        <v>Bulk Order</v>
      </c>
      <c r="N815" t="str">
        <f>_xlfn.CONCAT(Table1[[#This Row],[Category]],"-",Table1[[#This Row],[City]])</f>
        <v>Lifestyle-Chennai</v>
      </c>
      <c r="O815" t="str">
        <f>LEFT(Table1[[#This Row],[Category]],3)</f>
        <v>Lif</v>
      </c>
      <c r="P815" s="2"/>
    </row>
    <row r="816" spans="1:16" x14ac:dyDescent="0.35">
      <c r="A816" t="s">
        <v>826</v>
      </c>
      <c r="B816" t="s">
        <v>1221</v>
      </c>
      <c r="C816" t="s">
        <v>1225</v>
      </c>
      <c r="D816">
        <v>1512</v>
      </c>
      <c r="E816">
        <v>2</v>
      </c>
      <c r="F816" t="s">
        <v>1560</v>
      </c>
      <c r="G816" t="s">
        <v>1587</v>
      </c>
      <c r="H816" t="s">
        <v>1590</v>
      </c>
      <c r="I816">
        <v>3024</v>
      </c>
      <c r="J816">
        <v>82</v>
      </c>
      <c r="K816" t="s">
        <v>1596</v>
      </c>
      <c r="L816" t="s">
        <v>1597</v>
      </c>
      <c r="M816" t="str">
        <f>IF(Table1[[#This Row],[Quantity]]&gt;2,"Bulk Order","Normal Order")</f>
        <v>Normal Order</v>
      </c>
      <c r="N816" t="str">
        <f>_xlfn.CONCAT(Table1[[#This Row],[Category]],"-",Table1[[#This Row],[City]])</f>
        <v>Fitness-Mumbai</v>
      </c>
      <c r="O816" t="str">
        <f>LEFT(Table1[[#This Row],[Category]],3)</f>
        <v>Fit</v>
      </c>
      <c r="P816" s="2"/>
    </row>
    <row r="817" spans="1:16" x14ac:dyDescent="0.35">
      <c r="A817" t="s">
        <v>827</v>
      </c>
      <c r="B817" t="s">
        <v>1216</v>
      </c>
      <c r="C817" t="s">
        <v>1227</v>
      </c>
      <c r="D817">
        <v>2722</v>
      </c>
      <c r="E817">
        <v>4</v>
      </c>
      <c r="F817" t="s">
        <v>1475</v>
      </c>
      <c r="G817" t="s">
        <v>1588</v>
      </c>
      <c r="H817" t="s">
        <v>1592</v>
      </c>
      <c r="I817">
        <v>10888</v>
      </c>
      <c r="J817">
        <v>25</v>
      </c>
      <c r="K817" t="s">
        <v>1594</v>
      </c>
      <c r="L817" t="s">
        <v>1598</v>
      </c>
      <c r="M817" t="str">
        <f>IF(Table1[[#This Row],[Quantity]]&gt;2,"Bulk Order","Normal Order")</f>
        <v>Bulk Order</v>
      </c>
      <c r="N817" t="str">
        <f>_xlfn.CONCAT(Table1[[#This Row],[Category]],"-",Table1[[#This Row],[City]])</f>
        <v>Accessories-Delhi</v>
      </c>
      <c r="O817" t="str">
        <f>LEFT(Table1[[#This Row],[Category]],3)</f>
        <v>Acc</v>
      </c>
      <c r="P817" s="2"/>
    </row>
    <row r="818" spans="1:16" x14ac:dyDescent="0.35">
      <c r="A818" t="s">
        <v>828</v>
      </c>
      <c r="B818" t="s">
        <v>1218</v>
      </c>
      <c r="C818" t="s">
        <v>1226</v>
      </c>
      <c r="D818">
        <v>3373</v>
      </c>
      <c r="E818">
        <v>1</v>
      </c>
      <c r="F818" t="s">
        <v>1362</v>
      </c>
      <c r="G818" t="s">
        <v>1585</v>
      </c>
      <c r="H818" t="s">
        <v>1590</v>
      </c>
      <c r="I818">
        <v>3373</v>
      </c>
      <c r="J818">
        <v>22</v>
      </c>
      <c r="K818" t="s">
        <v>1595</v>
      </c>
      <c r="L818" t="s">
        <v>1599</v>
      </c>
      <c r="M818" t="str">
        <f>IF(Table1[[#This Row],[Quantity]]&gt;2,"Bulk Order","Normal Order")</f>
        <v>Normal Order</v>
      </c>
      <c r="N818" t="str">
        <f>_xlfn.CONCAT(Table1[[#This Row],[Category]],"-",Table1[[#This Row],[City]])</f>
        <v>Home-Kolkata</v>
      </c>
      <c r="O818" t="str">
        <f>LEFT(Table1[[#This Row],[Category]],3)</f>
        <v>Hom</v>
      </c>
      <c r="P818" s="2"/>
    </row>
    <row r="819" spans="1:16" x14ac:dyDescent="0.35">
      <c r="A819" t="s">
        <v>829</v>
      </c>
      <c r="B819" t="s">
        <v>1214</v>
      </c>
      <c r="C819" t="s">
        <v>1224</v>
      </c>
      <c r="D819">
        <v>3180</v>
      </c>
      <c r="E819">
        <v>1</v>
      </c>
      <c r="F819" t="s">
        <v>1473</v>
      </c>
      <c r="G819" t="s">
        <v>1586</v>
      </c>
      <c r="H819" t="s">
        <v>1591</v>
      </c>
      <c r="I819">
        <v>3180</v>
      </c>
      <c r="J819">
        <v>78</v>
      </c>
      <c r="K819" t="s">
        <v>1595</v>
      </c>
      <c r="L819" t="s">
        <v>1599</v>
      </c>
      <c r="M819" t="str">
        <f>IF(Table1[[#This Row],[Quantity]]&gt;2,"Bulk Order","Normal Order")</f>
        <v>Normal Order</v>
      </c>
      <c r="N819" t="str">
        <f>_xlfn.CONCAT(Table1[[#This Row],[Category]],"-",Table1[[#This Row],[City]])</f>
        <v>Lifestyle-Hyderabad</v>
      </c>
      <c r="O819" t="str">
        <f>LEFT(Table1[[#This Row],[Category]],3)</f>
        <v>Lif</v>
      </c>
      <c r="P819" s="2"/>
    </row>
    <row r="820" spans="1:16" x14ac:dyDescent="0.35">
      <c r="A820" t="s">
        <v>830</v>
      </c>
      <c r="B820" t="s">
        <v>1219</v>
      </c>
      <c r="C820" t="s">
        <v>1224</v>
      </c>
      <c r="D820">
        <v>2394</v>
      </c>
      <c r="E820">
        <v>4</v>
      </c>
      <c r="F820" t="s">
        <v>1345</v>
      </c>
      <c r="G820" t="s">
        <v>1586</v>
      </c>
      <c r="H820" t="s">
        <v>1591</v>
      </c>
      <c r="I820">
        <v>9576</v>
      </c>
      <c r="J820">
        <v>21</v>
      </c>
      <c r="K820" t="s">
        <v>1595</v>
      </c>
      <c r="L820" t="s">
        <v>1597</v>
      </c>
      <c r="M820" t="str">
        <f>IF(Table1[[#This Row],[Quantity]]&gt;2,"Bulk Order","Normal Order")</f>
        <v>Bulk Order</v>
      </c>
      <c r="N820" t="str">
        <f>_xlfn.CONCAT(Table1[[#This Row],[Category]],"-",Table1[[#This Row],[City]])</f>
        <v>Lifestyle-Hyderabad</v>
      </c>
      <c r="O820" t="str">
        <f>LEFT(Table1[[#This Row],[Category]],3)</f>
        <v>Lif</v>
      </c>
      <c r="P820" s="2"/>
    </row>
    <row r="821" spans="1:16" x14ac:dyDescent="0.35">
      <c r="A821" t="s">
        <v>831</v>
      </c>
      <c r="B821" t="s">
        <v>1218</v>
      </c>
      <c r="C821" t="s">
        <v>1227</v>
      </c>
      <c r="D821">
        <v>3056</v>
      </c>
      <c r="E821">
        <v>2</v>
      </c>
      <c r="F821" t="s">
        <v>1396</v>
      </c>
      <c r="G821" t="s">
        <v>1587</v>
      </c>
      <c r="H821" t="s">
        <v>1591</v>
      </c>
      <c r="I821">
        <v>6112</v>
      </c>
      <c r="J821">
        <v>31</v>
      </c>
      <c r="K821" t="s">
        <v>1595</v>
      </c>
      <c r="L821" t="s">
        <v>1597</v>
      </c>
      <c r="M821" t="str">
        <f>IF(Table1[[#This Row],[Quantity]]&gt;2,"Bulk Order","Normal Order")</f>
        <v>Normal Order</v>
      </c>
      <c r="N821" t="str">
        <f>_xlfn.CONCAT(Table1[[#This Row],[Category]],"-",Table1[[#This Row],[City]])</f>
        <v>Accessories-Mumbai</v>
      </c>
      <c r="O821" t="str">
        <f>LEFT(Table1[[#This Row],[Category]],3)</f>
        <v>Acc</v>
      </c>
      <c r="P821" s="2"/>
    </row>
    <row r="822" spans="1:16" x14ac:dyDescent="0.35">
      <c r="A822" t="s">
        <v>832</v>
      </c>
      <c r="B822" t="s">
        <v>1221</v>
      </c>
      <c r="C822" t="s">
        <v>1227</v>
      </c>
      <c r="D822">
        <v>1979</v>
      </c>
      <c r="E822">
        <v>3</v>
      </c>
      <c r="F822" t="s">
        <v>1352</v>
      </c>
      <c r="G822" t="s">
        <v>1589</v>
      </c>
      <c r="H822" t="s">
        <v>1591</v>
      </c>
      <c r="I822">
        <v>5937</v>
      </c>
      <c r="J822">
        <v>96</v>
      </c>
      <c r="K822" t="s">
        <v>1595</v>
      </c>
      <c r="L822" t="s">
        <v>1599</v>
      </c>
      <c r="M822" t="str">
        <f>IF(Table1[[#This Row],[Quantity]]&gt;2,"Bulk Order","Normal Order")</f>
        <v>Bulk Order</v>
      </c>
      <c r="N822" t="str">
        <f>_xlfn.CONCAT(Table1[[#This Row],[Category]],"-",Table1[[#This Row],[City]])</f>
        <v>Accessories-Bangalore</v>
      </c>
      <c r="O822" t="str">
        <f>LEFT(Table1[[#This Row],[Category]],3)</f>
        <v>Acc</v>
      </c>
      <c r="P822" s="2"/>
    </row>
    <row r="823" spans="1:16" x14ac:dyDescent="0.35">
      <c r="A823" t="s">
        <v>833</v>
      </c>
      <c r="B823" t="s">
        <v>1215</v>
      </c>
      <c r="C823" t="s">
        <v>1227</v>
      </c>
      <c r="D823">
        <v>3793</v>
      </c>
      <c r="E823">
        <v>3</v>
      </c>
      <c r="F823" t="s">
        <v>1403</v>
      </c>
      <c r="G823" t="s">
        <v>1587</v>
      </c>
      <c r="H823" t="s">
        <v>1593</v>
      </c>
      <c r="I823">
        <v>11379</v>
      </c>
      <c r="J823">
        <v>86</v>
      </c>
      <c r="K823" t="s">
        <v>1595</v>
      </c>
      <c r="L823" t="s">
        <v>1599</v>
      </c>
      <c r="M823" t="str">
        <f>IF(Table1[[#This Row],[Quantity]]&gt;2,"Bulk Order","Normal Order")</f>
        <v>Bulk Order</v>
      </c>
      <c r="N823" t="str">
        <f>_xlfn.CONCAT(Table1[[#This Row],[Category]],"-",Table1[[#This Row],[City]])</f>
        <v>Accessories-Mumbai</v>
      </c>
      <c r="O823" t="str">
        <f>LEFT(Table1[[#This Row],[Category]],3)</f>
        <v>Acc</v>
      </c>
      <c r="P823" s="2"/>
    </row>
    <row r="824" spans="1:16" x14ac:dyDescent="0.35">
      <c r="A824" t="s">
        <v>834</v>
      </c>
      <c r="B824" t="s">
        <v>1215</v>
      </c>
      <c r="C824" t="s">
        <v>1226</v>
      </c>
      <c r="D824">
        <v>3804</v>
      </c>
      <c r="E824">
        <v>4</v>
      </c>
      <c r="F824" t="s">
        <v>1259</v>
      </c>
      <c r="G824" t="s">
        <v>1585</v>
      </c>
      <c r="H824" t="s">
        <v>1592</v>
      </c>
      <c r="I824">
        <v>15216</v>
      </c>
      <c r="J824">
        <v>62</v>
      </c>
      <c r="K824" t="s">
        <v>1595</v>
      </c>
      <c r="L824" t="s">
        <v>1599</v>
      </c>
      <c r="M824" t="str">
        <f>IF(Table1[[#This Row],[Quantity]]&gt;2,"Bulk Order","Normal Order")</f>
        <v>Bulk Order</v>
      </c>
      <c r="N824" t="str">
        <f>_xlfn.CONCAT(Table1[[#This Row],[Category]],"-",Table1[[#This Row],[City]])</f>
        <v>Home-Kolkata</v>
      </c>
      <c r="O824" t="str">
        <f>LEFT(Table1[[#This Row],[Category]],3)</f>
        <v>Hom</v>
      </c>
      <c r="P824" s="2"/>
    </row>
    <row r="825" spans="1:16" x14ac:dyDescent="0.35">
      <c r="A825" t="s">
        <v>835</v>
      </c>
      <c r="B825" t="s">
        <v>1222</v>
      </c>
      <c r="C825" t="s">
        <v>1225</v>
      </c>
      <c r="D825">
        <v>4529</v>
      </c>
      <c r="E825">
        <v>4</v>
      </c>
      <c r="F825" t="s">
        <v>1561</v>
      </c>
      <c r="G825" t="s">
        <v>1589</v>
      </c>
      <c r="H825" t="s">
        <v>1591</v>
      </c>
      <c r="I825">
        <v>18116</v>
      </c>
      <c r="J825">
        <v>33</v>
      </c>
      <c r="K825" t="s">
        <v>1594</v>
      </c>
      <c r="L825" t="s">
        <v>1598</v>
      </c>
      <c r="M825" t="str">
        <f>IF(Table1[[#This Row],[Quantity]]&gt;2,"Bulk Order","Normal Order")</f>
        <v>Bulk Order</v>
      </c>
      <c r="N825" t="str">
        <f>_xlfn.CONCAT(Table1[[#This Row],[Category]],"-",Table1[[#This Row],[City]])</f>
        <v>Fitness-Bangalore</v>
      </c>
      <c r="O825" t="str">
        <f>LEFT(Table1[[#This Row],[Category]],3)</f>
        <v>Fit</v>
      </c>
      <c r="P825" s="2"/>
    </row>
    <row r="826" spans="1:16" x14ac:dyDescent="0.35">
      <c r="A826" t="s">
        <v>836</v>
      </c>
      <c r="B826" t="s">
        <v>1215</v>
      </c>
      <c r="C826" t="s">
        <v>1227</v>
      </c>
      <c r="D826">
        <v>3049</v>
      </c>
      <c r="E826">
        <v>1</v>
      </c>
      <c r="F826" t="s">
        <v>1562</v>
      </c>
      <c r="G826" t="s">
        <v>1584</v>
      </c>
      <c r="H826" t="s">
        <v>1591</v>
      </c>
      <c r="I826">
        <v>3049</v>
      </c>
      <c r="J826">
        <v>72</v>
      </c>
      <c r="K826" t="s">
        <v>1595</v>
      </c>
      <c r="L826" t="s">
        <v>1599</v>
      </c>
      <c r="M826" t="str">
        <f>IF(Table1[[#This Row],[Quantity]]&gt;2,"Bulk Order","Normal Order")</f>
        <v>Normal Order</v>
      </c>
      <c r="N826" t="str">
        <f>_xlfn.CONCAT(Table1[[#This Row],[Category]],"-",Table1[[#This Row],[City]])</f>
        <v>Accessories-Chennai</v>
      </c>
      <c r="O826" t="str">
        <f>LEFT(Table1[[#This Row],[Category]],3)</f>
        <v>Acc</v>
      </c>
      <c r="P826" s="2"/>
    </row>
    <row r="827" spans="1:16" x14ac:dyDescent="0.35">
      <c r="A827" t="s">
        <v>837</v>
      </c>
      <c r="B827" t="s">
        <v>1218</v>
      </c>
      <c r="C827" t="s">
        <v>1227</v>
      </c>
      <c r="D827">
        <v>3239</v>
      </c>
      <c r="E827">
        <v>3</v>
      </c>
      <c r="F827" t="s">
        <v>1468</v>
      </c>
      <c r="G827" t="s">
        <v>1584</v>
      </c>
      <c r="H827" t="s">
        <v>1591</v>
      </c>
      <c r="I827">
        <v>9717</v>
      </c>
      <c r="J827">
        <v>70</v>
      </c>
      <c r="K827" t="s">
        <v>1595</v>
      </c>
      <c r="L827" t="s">
        <v>1598</v>
      </c>
      <c r="M827" t="str">
        <f>IF(Table1[[#This Row],[Quantity]]&gt;2,"Bulk Order","Normal Order")</f>
        <v>Bulk Order</v>
      </c>
      <c r="N827" t="str">
        <f>_xlfn.CONCAT(Table1[[#This Row],[Category]],"-",Table1[[#This Row],[City]])</f>
        <v>Accessories-Chennai</v>
      </c>
      <c r="O827" t="str">
        <f>LEFT(Table1[[#This Row],[Category]],3)</f>
        <v>Acc</v>
      </c>
      <c r="P827" s="2"/>
    </row>
    <row r="828" spans="1:16" x14ac:dyDescent="0.35">
      <c r="A828" t="s">
        <v>838</v>
      </c>
      <c r="B828" t="s">
        <v>1212</v>
      </c>
      <c r="C828" t="s">
        <v>1226</v>
      </c>
      <c r="D828">
        <v>533</v>
      </c>
      <c r="E828">
        <v>2</v>
      </c>
      <c r="F828" t="s">
        <v>1265</v>
      </c>
      <c r="G828" t="s">
        <v>1587</v>
      </c>
      <c r="H828" t="s">
        <v>1593</v>
      </c>
      <c r="I828">
        <v>1066</v>
      </c>
      <c r="J828">
        <v>20</v>
      </c>
      <c r="K828" t="s">
        <v>1595</v>
      </c>
      <c r="L828" t="s">
        <v>1598</v>
      </c>
      <c r="M828" t="str">
        <f>IF(Table1[[#This Row],[Quantity]]&gt;2,"Bulk Order","Normal Order")</f>
        <v>Normal Order</v>
      </c>
      <c r="N828" t="str">
        <f>_xlfn.CONCAT(Table1[[#This Row],[Category]],"-",Table1[[#This Row],[City]])</f>
        <v>Home-Mumbai</v>
      </c>
      <c r="O828" t="str">
        <f>LEFT(Table1[[#This Row],[Category]],3)</f>
        <v>Hom</v>
      </c>
      <c r="P828" s="2"/>
    </row>
    <row r="829" spans="1:16" x14ac:dyDescent="0.35">
      <c r="A829" t="s">
        <v>839</v>
      </c>
      <c r="B829" t="s">
        <v>1223</v>
      </c>
      <c r="C829" t="s">
        <v>1227</v>
      </c>
      <c r="D829">
        <v>2985</v>
      </c>
      <c r="E829">
        <v>3</v>
      </c>
      <c r="F829" t="s">
        <v>1373</v>
      </c>
      <c r="G829" t="s">
        <v>1589</v>
      </c>
      <c r="H829" t="s">
        <v>1590</v>
      </c>
      <c r="I829">
        <v>8955</v>
      </c>
      <c r="J829">
        <v>73</v>
      </c>
      <c r="K829" t="s">
        <v>1595</v>
      </c>
      <c r="L829" t="s">
        <v>1598</v>
      </c>
      <c r="M829" t="str">
        <f>IF(Table1[[#This Row],[Quantity]]&gt;2,"Bulk Order","Normal Order")</f>
        <v>Bulk Order</v>
      </c>
      <c r="N829" t="str">
        <f>_xlfn.CONCAT(Table1[[#This Row],[Category]],"-",Table1[[#This Row],[City]])</f>
        <v>Accessories-Bangalore</v>
      </c>
      <c r="O829" t="str">
        <f>LEFT(Table1[[#This Row],[Category]],3)</f>
        <v>Acc</v>
      </c>
      <c r="P829" s="2"/>
    </row>
    <row r="830" spans="1:16" x14ac:dyDescent="0.35">
      <c r="A830" t="s">
        <v>840</v>
      </c>
      <c r="B830" t="s">
        <v>1213</v>
      </c>
      <c r="C830" t="s">
        <v>1225</v>
      </c>
      <c r="D830">
        <v>2451</v>
      </c>
      <c r="E830">
        <v>2</v>
      </c>
      <c r="F830" t="s">
        <v>1488</v>
      </c>
      <c r="G830" t="s">
        <v>1589</v>
      </c>
      <c r="H830" t="s">
        <v>1593</v>
      </c>
      <c r="I830">
        <v>4902</v>
      </c>
      <c r="J830">
        <v>45</v>
      </c>
      <c r="K830" t="s">
        <v>1596</v>
      </c>
      <c r="L830" t="s">
        <v>1599</v>
      </c>
      <c r="M830" t="str">
        <f>IF(Table1[[#This Row],[Quantity]]&gt;2,"Bulk Order","Normal Order")</f>
        <v>Normal Order</v>
      </c>
      <c r="N830" t="str">
        <f>_xlfn.CONCAT(Table1[[#This Row],[Category]],"-",Table1[[#This Row],[City]])</f>
        <v>Fitness-Bangalore</v>
      </c>
      <c r="O830" t="str">
        <f>LEFT(Table1[[#This Row],[Category]],3)</f>
        <v>Fit</v>
      </c>
      <c r="P830" s="2"/>
    </row>
    <row r="831" spans="1:16" x14ac:dyDescent="0.35">
      <c r="A831" t="s">
        <v>841</v>
      </c>
      <c r="B831" t="s">
        <v>1220</v>
      </c>
      <c r="C831" t="s">
        <v>1227</v>
      </c>
      <c r="D831">
        <v>4309</v>
      </c>
      <c r="E831">
        <v>3</v>
      </c>
      <c r="F831" t="s">
        <v>1345</v>
      </c>
      <c r="G831" t="s">
        <v>1586</v>
      </c>
      <c r="H831" t="s">
        <v>1591</v>
      </c>
      <c r="I831">
        <v>12927</v>
      </c>
      <c r="J831">
        <v>65</v>
      </c>
      <c r="K831" t="s">
        <v>1595</v>
      </c>
      <c r="L831" t="s">
        <v>1597</v>
      </c>
      <c r="M831" t="str">
        <f>IF(Table1[[#This Row],[Quantity]]&gt;2,"Bulk Order","Normal Order")</f>
        <v>Bulk Order</v>
      </c>
      <c r="N831" t="str">
        <f>_xlfn.CONCAT(Table1[[#This Row],[Category]],"-",Table1[[#This Row],[City]])</f>
        <v>Accessories-Hyderabad</v>
      </c>
      <c r="O831" t="str">
        <f>LEFT(Table1[[#This Row],[Category]],3)</f>
        <v>Acc</v>
      </c>
      <c r="P831" s="2"/>
    </row>
    <row r="832" spans="1:16" x14ac:dyDescent="0.35">
      <c r="A832" t="s">
        <v>842</v>
      </c>
      <c r="B832" t="s">
        <v>1216</v>
      </c>
      <c r="C832" t="s">
        <v>1228</v>
      </c>
      <c r="D832">
        <v>3099</v>
      </c>
      <c r="E832">
        <v>4</v>
      </c>
      <c r="F832" t="s">
        <v>1230</v>
      </c>
      <c r="G832" t="s">
        <v>1588</v>
      </c>
      <c r="H832" t="s">
        <v>1592</v>
      </c>
      <c r="I832">
        <v>12396</v>
      </c>
      <c r="J832">
        <v>93</v>
      </c>
      <c r="K832" t="s">
        <v>1595</v>
      </c>
      <c r="L832" t="s">
        <v>1599</v>
      </c>
      <c r="M832" t="str">
        <f>IF(Table1[[#This Row],[Quantity]]&gt;2,"Bulk Order","Normal Order")</f>
        <v>Bulk Order</v>
      </c>
      <c r="N832" t="str">
        <f>_xlfn.CONCAT(Table1[[#This Row],[Category]],"-",Table1[[#This Row],[City]])</f>
        <v>Electronics-Delhi</v>
      </c>
      <c r="O832" t="str">
        <f>LEFT(Table1[[#This Row],[Category]],3)</f>
        <v>Ele</v>
      </c>
      <c r="P832" s="2"/>
    </row>
    <row r="833" spans="1:16" x14ac:dyDescent="0.35">
      <c r="A833" t="s">
        <v>843</v>
      </c>
      <c r="B833" t="s">
        <v>1223</v>
      </c>
      <c r="C833" t="s">
        <v>1227</v>
      </c>
      <c r="D833">
        <v>4977</v>
      </c>
      <c r="E833">
        <v>3</v>
      </c>
      <c r="F833" t="s">
        <v>1557</v>
      </c>
      <c r="G833" t="s">
        <v>1589</v>
      </c>
      <c r="H833" t="s">
        <v>1591</v>
      </c>
      <c r="I833">
        <v>14931</v>
      </c>
      <c r="J833">
        <v>63</v>
      </c>
      <c r="K833" t="s">
        <v>1595</v>
      </c>
      <c r="L833" t="s">
        <v>1599</v>
      </c>
      <c r="M833" t="str">
        <f>IF(Table1[[#This Row],[Quantity]]&gt;2,"Bulk Order","Normal Order")</f>
        <v>Bulk Order</v>
      </c>
      <c r="N833" t="str">
        <f>_xlfn.CONCAT(Table1[[#This Row],[Category]],"-",Table1[[#This Row],[City]])</f>
        <v>Accessories-Bangalore</v>
      </c>
      <c r="O833" t="str">
        <f>LEFT(Table1[[#This Row],[Category]],3)</f>
        <v>Acc</v>
      </c>
      <c r="P833" s="2"/>
    </row>
    <row r="834" spans="1:16" x14ac:dyDescent="0.35">
      <c r="A834" t="s">
        <v>844</v>
      </c>
      <c r="B834" t="s">
        <v>1213</v>
      </c>
      <c r="C834" t="s">
        <v>1226</v>
      </c>
      <c r="D834">
        <v>1654</v>
      </c>
      <c r="E834">
        <v>4</v>
      </c>
      <c r="F834" t="s">
        <v>1348</v>
      </c>
      <c r="G834" t="s">
        <v>1586</v>
      </c>
      <c r="H834" t="s">
        <v>1593</v>
      </c>
      <c r="I834">
        <v>6616</v>
      </c>
      <c r="J834">
        <v>27</v>
      </c>
      <c r="K834" t="s">
        <v>1595</v>
      </c>
      <c r="L834" t="s">
        <v>1599</v>
      </c>
      <c r="M834" t="str">
        <f>IF(Table1[[#This Row],[Quantity]]&gt;2,"Bulk Order","Normal Order")</f>
        <v>Bulk Order</v>
      </c>
      <c r="N834" t="str">
        <f>_xlfn.CONCAT(Table1[[#This Row],[Category]],"-",Table1[[#This Row],[City]])</f>
        <v>Home-Hyderabad</v>
      </c>
      <c r="O834" t="str">
        <f>LEFT(Table1[[#This Row],[Category]],3)</f>
        <v>Hom</v>
      </c>
      <c r="P834" s="2"/>
    </row>
    <row r="835" spans="1:16" x14ac:dyDescent="0.35">
      <c r="A835" t="s">
        <v>845</v>
      </c>
      <c r="B835" t="s">
        <v>1219</v>
      </c>
      <c r="C835" t="s">
        <v>1226</v>
      </c>
      <c r="D835">
        <v>1301</v>
      </c>
      <c r="E835">
        <v>1</v>
      </c>
      <c r="F835" t="s">
        <v>1380</v>
      </c>
      <c r="G835" t="s">
        <v>1589</v>
      </c>
      <c r="H835" t="s">
        <v>1592</v>
      </c>
      <c r="I835">
        <v>1301</v>
      </c>
      <c r="J835">
        <v>29</v>
      </c>
      <c r="K835" t="s">
        <v>1595</v>
      </c>
      <c r="L835" t="s">
        <v>1598</v>
      </c>
      <c r="M835" t="str">
        <f>IF(Table1[[#This Row],[Quantity]]&gt;2,"Bulk Order","Normal Order")</f>
        <v>Normal Order</v>
      </c>
      <c r="N835" t="str">
        <f>_xlfn.CONCAT(Table1[[#This Row],[Category]],"-",Table1[[#This Row],[City]])</f>
        <v>Home-Bangalore</v>
      </c>
      <c r="O835" t="str">
        <f>LEFT(Table1[[#This Row],[Category]],3)</f>
        <v>Hom</v>
      </c>
      <c r="P835" s="2"/>
    </row>
    <row r="836" spans="1:16" x14ac:dyDescent="0.35">
      <c r="A836" t="s">
        <v>846</v>
      </c>
      <c r="B836" t="s">
        <v>1217</v>
      </c>
      <c r="C836" t="s">
        <v>1224</v>
      </c>
      <c r="D836">
        <v>4036</v>
      </c>
      <c r="E836">
        <v>3</v>
      </c>
      <c r="F836" t="s">
        <v>1271</v>
      </c>
      <c r="G836" t="s">
        <v>1589</v>
      </c>
      <c r="H836" t="s">
        <v>1593</v>
      </c>
      <c r="I836">
        <v>12108</v>
      </c>
      <c r="J836">
        <v>90</v>
      </c>
      <c r="K836" t="s">
        <v>1595</v>
      </c>
      <c r="L836" t="s">
        <v>1598</v>
      </c>
      <c r="M836" t="str">
        <f>IF(Table1[[#This Row],[Quantity]]&gt;2,"Bulk Order","Normal Order")</f>
        <v>Bulk Order</v>
      </c>
      <c r="N836" t="str">
        <f>_xlfn.CONCAT(Table1[[#This Row],[Category]],"-",Table1[[#This Row],[City]])</f>
        <v>Lifestyle-Bangalore</v>
      </c>
      <c r="O836" t="str">
        <f>LEFT(Table1[[#This Row],[Category]],3)</f>
        <v>Lif</v>
      </c>
      <c r="P836" s="2"/>
    </row>
    <row r="837" spans="1:16" x14ac:dyDescent="0.35">
      <c r="A837" t="s">
        <v>847</v>
      </c>
      <c r="B837" t="s">
        <v>1221</v>
      </c>
      <c r="C837" t="s">
        <v>1224</v>
      </c>
      <c r="D837">
        <v>3690</v>
      </c>
      <c r="E837">
        <v>4</v>
      </c>
      <c r="F837" t="s">
        <v>1249</v>
      </c>
      <c r="G837" t="s">
        <v>1585</v>
      </c>
      <c r="H837" t="s">
        <v>1593</v>
      </c>
      <c r="I837">
        <v>14760</v>
      </c>
      <c r="J837">
        <v>92</v>
      </c>
      <c r="K837" t="s">
        <v>1595</v>
      </c>
      <c r="L837" t="s">
        <v>1598</v>
      </c>
      <c r="M837" t="str">
        <f>IF(Table1[[#This Row],[Quantity]]&gt;2,"Bulk Order","Normal Order")</f>
        <v>Bulk Order</v>
      </c>
      <c r="N837" t="str">
        <f>_xlfn.CONCAT(Table1[[#This Row],[Category]],"-",Table1[[#This Row],[City]])</f>
        <v>Lifestyle-Kolkata</v>
      </c>
      <c r="O837" t="str">
        <f>LEFT(Table1[[#This Row],[Category]],3)</f>
        <v>Lif</v>
      </c>
      <c r="P837" s="2"/>
    </row>
    <row r="838" spans="1:16" x14ac:dyDescent="0.35">
      <c r="A838" t="s">
        <v>848</v>
      </c>
      <c r="B838" t="s">
        <v>1222</v>
      </c>
      <c r="C838" t="s">
        <v>1226</v>
      </c>
      <c r="D838">
        <v>2592</v>
      </c>
      <c r="E838">
        <v>4</v>
      </c>
      <c r="F838" t="s">
        <v>1347</v>
      </c>
      <c r="G838" t="s">
        <v>1587</v>
      </c>
      <c r="H838" t="s">
        <v>1593</v>
      </c>
      <c r="I838">
        <v>10368</v>
      </c>
      <c r="J838">
        <v>38</v>
      </c>
      <c r="K838" t="s">
        <v>1595</v>
      </c>
      <c r="L838" t="s">
        <v>1597</v>
      </c>
      <c r="M838" t="str">
        <f>IF(Table1[[#This Row],[Quantity]]&gt;2,"Bulk Order","Normal Order")</f>
        <v>Bulk Order</v>
      </c>
      <c r="N838" t="str">
        <f>_xlfn.CONCAT(Table1[[#This Row],[Category]],"-",Table1[[#This Row],[City]])</f>
        <v>Home-Mumbai</v>
      </c>
      <c r="O838" t="str">
        <f>LEFT(Table1[[#This Row],[Category]],3)</f>
        <v>Hom</v>
      </c>
      <c r="P838" s="2"/>
    </row>
    <row r="839" spans="1:16" x14ac:dyDescent="0.35">
      <c r="A839" t="s">
        <v>849</v>
      </c>
      <c r="B839" t="s">
        <v>1213</v>
      </c>
      <c r="C839" t="s">
        <v>1226</v>
      </c>
      <c r="D839">
        <v>3598</v>
      </c>
      <c r="E839">
        <v>3</v>
      </c>
      <c r="F839" t="s">
        <v>1351</v>
      </c>
      <c r="G839" t="s">
        <v>1586</v>
      </c>
      <c r="H839" t="s">
        <v>1593</v>
      </c>
      <c r="I839">
        <v>10794</v>
      </c>
      <c r="J839">
        <v>43</v>
      </c>
      <c r="K839" t="s">
        <v>1595</v>
      </c>
      <c r="L839" t="s">
        <v>1598</v>
      </c>
      <c r="M839" t="str">
        <f>IF(Table1[[#This Row],[Quantity]]&gt;2,"Bulk Order","Normal Order")</f>
        <v>Bulk Order</v>
      </c>
      <c r="N839" t="str">
        <f>_xlfn.CONCAT(Table1[[#This Row],[Category]],"-",Table1[[#This Row],[City]])</f>
        <v>Home-Hyderabad</v>
      </c>
      <c r="O839" t="str">
        <f>LEFT(Table1[[#This Row],[Category]],3)</f>
        <v>Hom</v>
      </c>
      <c r="P839" s="2"/>
    </row>
    <row r="840" spans="1:16" x14ac:dyDescent="0.35">
      <c r="A840" t="s">
        <v>850</v>
      </c>
      <c r="B840" t="s">
        <v>1217</v>
      </c>
      <c r="C840" t="s">
        <v>1226</v>
      </c>
      <c r="D840">
        <v>4915</v>
      </c>
      <c r="E840">
        <v>1</v>
      </c>
      <c r="F840" t="s">
        <v>1461</v>
      </c>
      <c r="G840" t="s">
        <v>1585</v>
      </c>
      <c r="H840" t="s">
        <v>1590</v>
      </c>
      <c r="I840">
        <v>4915</v>
      </c>
      <c r="J840">
        <v>81</v>
      </c>
      <c r="K840" t="s">
        <v>1595</v>
      </c>
      <c r="L840" t="s">
        <v>1598</v>
      </c>
      <c r="M840" t="str">
        <f>IF(Table1[[#This Row],[Quantity]]&gt;2,"Bulk Order","Normal Order")</f>
        <v>Normal Order</v>
      </c>
      <c r="N840" t="str">
        <f>_xlfn.CONCAT(Table1[[#This Row],[Category]],"-",Table1[[#This Row],[City]])</f>
        <v>Home-Kolkata</v>
      </c>
      <c r="O840" t="str">
        <f>LEFT(Table1[[#This Row],[Category]],3)</f>
        <v>Hom</v>
      </c>
      <c r="P840" s="2"/>
    </row>
    <row r="841" spans="1:16" x14ac:dyDescent="0.35">
      <c r="A841" t="s">
        <v>851</v>
      </c>
      <c r="B841" t="s">
        <v>1217</v>
      </c>
      <c r="C841" t="s">
        <v>1224</v>
      </c>
      <c r="D841">
        <v>4018</v>
      </c>
      <c r="E841">
        <v>1</v>
      </c>
      <c r="F841" t="s">
        <v>1423</v>
      </c>
      <c r="G841" t="s">
        <v>1584</v>
      </c>
      <c r="H841" t="s">
        <v>1593</v>
      </c>
      <c r="I841">
        <v>4018</v>
      </c>
      <c r="J841">
        <v>75</v>
      </c>
      <c r="K841" t="s">
        <v>1594</v>
      </c>
      <c r="L841" t="s">
        <v>1598</v>
      </c>
      <c r="M841" t="str">
        <f>IF(Table1[[#This Row],[Quantity]]&gt;2,"Bulk Order","Normal Order")</f>
        <v>Normal Order</v>
      </c>
      <c r="N841" t="str">
        <f>_xlfn.CONCAT(Table1[[#This Row],[Category]],"-",Table1[[#This Row],[City]])</f>
        <v>Lifestyle-Chennai</v>
      </c>
      <c r="O841" t="str">
        <f>LEFT(Table1[[#This Row],[Category]],3)</f>
        <v>Lif</v>
      </c>
      <c r="P841" s="2"/>
    </row>
    <row r="842" spans="1:16" x14ac:dyDescent="0.35">
      <c r="A842" t="s">
        <v>852</v>
      </c>
      <c r="B842" t="s">
        <v>1221</v>
      </c>
      <c r="C842" t="s">
        <v>1228</v>
      </c>
      <c r="D842">
        <v>636</v>
      </c>
      <c r="E842">
        <v>3</v>
      </c>
      <c r="F842" t="s">
        <v>1437</v>
      </c>
      <c r="G842" t="s">
        <v>1584</v>
      </c>
      <c r="H842" t="s">
        <v>1590</v>
      </c>
      <c r="I842">
        <v>1908</v>
      </c>
      <c r="J842">
        <v>92</v>
      </c>
      <c r="K842" t="s">
        <v>1595</v>
      </c>
      <c r="L842" t="s">
        <v>1599</v>
      </c>
      <c r="M842" t="str">
        <f>IF(Table1[[#This Row],[Quantity]]&gt;2,"Bulk Order","Normal Order")</f>
        <v>Bulk Order</v>
      </c>
      <c r="N842" t="str">
        <f>_xlfn.CONCAT(Table1[[#This Row],[Category]],"-",Table1[[#This Row],[City]])</f>
        <v>Electronics-Chennai</v>
      </c>
      <c r="O842" t="str">
        <f>LEFT(Table1[[#This Row],[Category]],3)</f>
        <v>Ele</v>
      </c>
      <c r="P842" s="2"/>
    </row>
    <row r="843" spans="1:16" x14ac:dyDescent="0.35">
      <c r="A843" t="s">
        <v>853</v>
      </c>
      <c r="B843" t="s">
        <v>1220</v>
      </c>
      <c r="C843" t="s">
        <v>1226</v>
      </c>
      <c r="D843">
        <v>4910</v>
      </c>
      <c r="E843">
        <v>4</v>
      </c>
      <c r="F843" t="s">
        <v>1563</v>
      </c>
      <c r="G843" t="s">
        <v>1585</v>
      </c>
      <c r="H843" t="s">
        <v>1593</v>
      </c>
      <c r="I843">
        <v>19640</v>
      </c>
      <c r="J843">
        <v>82</v>
      </c>
      <c r="K843" t="s">
        <v>1596</v>
      </c>
      <c r="L843" t="s">
        <v>1599</v>
      </c>
      <c r="M843" t="str">
        <f>IF(Table1[[#This Row],[Quantity]]&gt;2,"Bulk Order","Normal Order")</f>
        <v>Bulk Order</v>
      </c>
      <c r="N843" t="str">
        <f>_xlfn.CONCAT(Table1[[#This Row],[Category]],"-",Table1[[#This Row],[City]])</f>
        <v>Home-Kolkata</v>
      </c>
      <c r="O843" t="str">
        <f>LEFT(Table1[[#This Row],[Category]],3)</f>
        <v>Hom</v>
      </c>
      <c r="P843" s="2"/>
    </row>
    <row r="844" spans="1:16" x14ac:dyDescent="0.35">
      <c r="A844" t="s">
        <v>854</v>
      </c>
      <c r="B844" t="s">
        <v>1217</v>
      </c>
      <c r="C844" t="s">
        <v>1228</v>
      </c>
      <c r="D844">
        <v>827</v>
      </c>
      <c r="E844">
        <v>2</v>
      </c>
      <c r="F844" t="s">
        <v>1452</v>
      </c>
      <c r="G844" t="s">
        <v>1588</v>
      </c>
      <c r="H844" t="s">
        <v>1592</v>
      </c>
      <c r="I844">
        <v>1654</v>
      </c>
      <c r="J844">
        <v>39</v>
      </c>
      <c r="K844" t="s">
        <v>1595</v>
      </c>
      <c r="L844" t="s">
        <v>1597</v>
      </c>
      <c r="M844" t="str">
        <f>IF(Table1[[#This Row],[Quantity]]&gt;2,"Bulk Order","Normal Order")</f>
        <v>Normal Order</v>
      </c>
      <c r="N844" t="str">
        <f>_xlfn.CONCAT(Table1[[#This Row],[Category]],"-",Table1[[#This Row],[City]])</f>
        <v>Electronics-Delhi</v>
      </c>
      <c r="O844" t="str">
        <f>LEFT(Table1[[#This Row],[Category]],3)</f>
        <v>Ele</v>
      </c>
      <c r="P844" s="2"/>
    </row>
    <row r="845" spans="1:16" x14ac:dyDescent="0.35">
      <c r="A845" t="s">
        <v>855</v>
      </c>
      <c r="B845" t="s">
        <v>1217</v>
      </c>
      <c r="C845" t="s">
        <v>1226</v>
      </c>
      <c r="D845">
        <v>3526</v>
      </c>
      <c r="E845">
        <v>3</v>
      </c>
      <c r="F845" t="s">
        <v>1438</v>
      </c>
      <c r="G845" t="s">
        <v>1584</v>
      </c>
      <c r="H845" t="s">
        <v>1590</v>
      </c>
      <c r="I845">
        <v>10578</v>
      </c>
      <c r="J845">
        <v>40</v>
      </c>
      <c r="K845" t="s">
        <v>1595</v>
      </c>
      <c r="L845" t="s">
        <v>1599</v>
      </c>
      <c r="M845" t="str">
        <f>IF(Table1[[#This Row],[Quantity]]&gt;2,"Bulk Order","Normal Order")</f>
        <v>Bulk Order</v>
      </c>
      <c r="N845" t="str">
        <f>_xlfn.CONCAT(Table1[[#This Row],[Category]],"-",Table1[[#This Row],[City]])</f>
        <v>Home-Chennai</v>
      </c>
      <c r="O845" t="str">
        <f>LEFT(Table1[[#This Row],[Category]],3)</f>
        <v>Hom</v>
      </c>
      <c r="P845" s="2"/>
    </row>
    <row r="846" spans="1:16" x14ac:dyDescent="0.35">
      <c r="A846" t="s">
        <v>856</v>
      </c>
      <c r="B846" t="s">
        <v>1221</v>
      </c>
      <c r="C846" t="s">
        <v>1228</v>
      </c>
      <c r="D846">
        <v>3264</v>
      </c>
      <c r="E846">
        <v>1</v>
      </c>
      <c r="F846" t="s">
        <v>1250</v>
      </c>
      <c r="G846" t="s">
        <v>1586</v>
      </c>
      <c r="H846" t="s">
        <v>1593</v>
      </c>
      <c r="I846">
        <v>3264</v>
      </c>
      <c r="J846">
        <v>25</v>
      </c>
      <c r="K846" t="s">
        <v>1595</v>
      </c>
      <c r="L846" t="s">
        <v>1597</v>
      </c>
      <c r="M846" t="str">
        <f>IF(Table1[[#This Row],[Quantity]]&gt;2,"Bulk Order","Normal Order")</f>
        <v>Normal Order</v>
      </c>
      <c r="N846" t="str">
        <f>_xlfn.CONCAT(Table1[[#This Row],[Category]],"-",Table1[[#This Row],[City]])</f>
        <v>Electronics-Hyderabad</v>
      </c>
      <c r="O846" t="str">
        <f>LEFT(Table1[[#This Row],[Category]],3)</f>
        <v>Ele</v>
      </c>
      <c r="P846" s="2"/>
    </row>
    <row r="847" spans="1:16" x14ac:dyDescent="0.35">
      <c r="A847" t="s">
        <v>857</v>
      </c>
      <c r="B847" t="s">
        <v>1213</v>
      </c>
      <c r="C847" t="s">
        <v>1227</v>
      </c>
      <c r="D847">
        <v>4095</v>
      </c>
      <c r="E847">
        <v>3</v>
      </c>
      <c r="F847" t="s">
        <v>1536</v>
      </c>
      <c r="G847" t="s">
        <v>1587</v>
      </c>
      <c r="H847" t="s">
        <v>1590</v>
      </c>
      <c r="I847">
        <v>12285</v>
      </c>
      <c r="J847">
        <v>21</v>
      </c>
      <c r="K847" t="s">
        <v>1595</v>
      </c>
      <c r="L847" t="s">
        <v>1599</v>
      </c>
      <c r="M847" t="str">
        <f>IF(Table1[[#This Row],[Quantity]]&gt;2,"Bulk Order","Normal Order")</f>
        <v>Bulk Order</v>
      </c>
      <c r="N847" t="str">
        <f>_xlfn.CONCAT(Table1[[#This Row],[Category]],"-",Table1[[#This Row],[City]])</f>
        <v>Accessories-Mumbai</v>
      </c>
      <c r="O847" t="str">
        <f>LEFT(Table1[[#This Row],[Category]],3)</f>
        <v>Acc</v>
      </c>
      <c r="P847" s="2"/>
    </row>
    <row r="848" spans="1:16" x14ac:dyDescent="0.35">
      <c r="A848" t="s">
        <v>858</v>
      </c>
      <c r="B848" t="s">
        <v>1220</v>
      </c>
      <c r="C848" t="s">
        <v>1225</v>
      </c>
      <c r="D848">
        <v>843</v>
      </c>
      <c r="E848">
        <v>1</v>
      </c>
      <c r="F848" t="s">
        <v>1526</v>
      </c>
      <c r="G848" t="s">
        <v>1586</v>
      </c>
      <c r="H848" t="s">
        <v>1593</v>
      </c>
      <c r="I848">
        <v>843</v>
      </c>
      <c r="J848">
        <v>68</v>
      </c>
      <c r="K848" t="s">
        <v>1596</v>
      </c>
      <c r="L848" t="s">
        <v>1599</v>
      </c>
      <c r="M848" t="str">
        <f>IF(Table1[[#This Row],[Quantity]]&gt;2,"Bulk Order","Normal Order")</f>
        <v>Normal Order</v>
      </c>
      <c r="N848" t="str">
        <f>_xlfn.CONCAT(Table1[[#This Row],[Category]],"-",Table1[[#This Row],[City]])</f>
        <v>Fitness-Hyderabad</v>
      </c>
      <c r="O848" t="str">
        <f>LEFT(Table1[[#This Row],[Category]],3)</f>
        <v>Fit</v>
      </c>
      <c r="P848" s="2"/>
    </row>
    <row r="849" spans="1:16" x14ac:dyDescent="0.35">
      <c r="A849" t="s">
        <v>859</v>
      </c>
      <c r="B849" t="s">
        <v>1222</v>
      </c>
      <c r="C849" t="s">
        <v>1224</v>
      </c>
      <c r="D849">
        <v>3890</v>
      </c>
      <c r="E849">
        <v>1</v>
      </c>
      <c r="F849" t="s">
        <v>1523</v>
      </c>
      <c r="G849" t="s">
        <v>1585</v>
      </c>
      <c r="H849" t="s">
        <v>1591</v>
      </c>
      <c r="I849">
        <v>3890</v>
      </c>
      <c r="J849">
        <v>66</v>
      </c>
      <c r="K849" t="s">
        <v>1595</v>
      </c>
      <c r="L849" t="s">
        <v>1599</v>
      </c>
      <c r="M849" t="str">
        <f>IF(Table1[[#This Row],[Quantity]]&gt;2,"Bulk Order","Normal Order")</f>
        <v>Normal Order</v>
      </c>
      <c r="N849" t="str">
        <f>_xlfn.CONCAT(Table1[[#This Row],[Category]],"-",Table1[[#This Row],[City]])</f>
        <v>Lifestyle-Kolkata</v>
      </c>
      <c r="O849" t="str">
        <f>LEFT(Table1[[#This Row],[Category]],3)</f>
        <v>Lif</v>
      </c>
      <c r="P849" s="2"/>
    </row>
    <row r="850" spans="1:16" x14ac:dyDescent="0.35">
      <c r="A850" t="s">
        <v>860</v>
      </c>
      <c r="B850" t="s">
        <v>1213</v>
      </c>
      <c r="C850" t="s">
        <v>1228</v>
      </c>
      <c r="D850">
        <v>4171</v>
      </c>
      <c r="E850">
        <v>4</v>
      </c>
      <c r="F850" t="s">
        <v>1259</v>
      </c>
      <c r="G850" t="s">
        <v>1588</v>
      </c>
      <c r="H850" t="s">
        <v>1590</v>
      </c>
      <c r="I850">
        <v>16684</v>
      </c>
      <c r="J850">
        <v>84</v>
      </c>
      <c r="K850" t="s">
        <v>1595</v>
      </c>
      <c r="L850" t="s">
        <v>1599</v>
      </c>
      <c r="M850" t="str">
        <f>IF(Table1[[#This Row],[Quantity]]&gt;2,"Bulk Order","Normal Order")</f>
        <v>Bulk Order</v>
      </c>
      <c r="N850" t="str">
        <f>_xlfn.CONCAT(Table1[[#This Row],[Category]],"-",Table1[[#This Row],[City]])</f>
        <v>Electronics-Delhi</v>
      </c>
      <c r="O850" t="str">
        <f>LEFT(Table1[[#This Row],[Category]],3)</f>
        <v>Ele</v>
      </c>
      <c r="P850" s="2"/>
    </row>
    <row r="851" spans="1:16" x14ac:dyDescent="0.35">
      <c r="A851" t="s">
        <v>861</v>
      </c>
      <c r="B851" t="s">
        <v>1214</v>
      </c>
      <c r="C851" t="s">
        <v>1225</v>
      </c>
      <c r="D851">
        <v>1577</v>
      </c>
      <c r="E851">
        <v>3</v>
      </c>
      <c r="F851" t="s">
        <v>1332</v>
      </c>
      <c r="G851" t="s">
        <v>1584</v>
      </c>
      <c r="H851" t="s">
        <v>1593</v>
      </c>
      <c r="I851">
        <v>4731</v>
      </c>
      <c r="J851">
        <v>26</v>
      </c>
      <c r="K851" t="s">
        <v>1596</v>
      </c>
      <c r="L851" t="s">
        <v>1597</v>
      </c>
      <c r="M851" t="str">
        <f>IF(Table1[[#This Row],[Quantity]]&gt;2,"Bulk Order","Normal Order")</f>
        <v>Bulk Order</v>
      </c>
      <c r="N851" t="str">
        <f>_xlfn.CONCAT(Table1[[#This Row],[Category]],"-",Table1[[#This Row],[City]])</f>
        <v>Fitness-Chennai</v>
      </c>
      <c r="O851" t="str">
        <f>LEFT(Table1[[#This Row],[Category]],3)</f>
        <v>Fit</v>
      </c>
      <c r="P851" s="2"/>
    </row>
    <row r="852" spans="1:16" x14ac:dyDescent="0.35">
      <c r="A852" t="s">
        <v>862</v>
      </c>
      <c r="B852" t="s">
        <v>1216</v>
      </c>
      <c r="C852" t="s">
        <v>1227</v>
      </c>
      <c r="D852">
        <v>1773</v>
      </c>
      <c r="E852">
        <v>1</v>
      </c>
      <c r="F852" t="s">
        <v>1325</v>
      </c>
      <c r="G852" t="s">
        <v>1585</v>
      </c>
      <c r="H852" t="s">
        <v>1592</v>
      </c>
      <c r="I852">
        <v>1773</v>
      </c>
      <c r="J852">
        <v>56</v>
      </c>
      <c r="K852" t="s">
        <v>1595</v>
      </c>
      <c r="L852" t="s">
        <v>1597</v>
      </c>
      <c r="M852" t="str">
        <f>IF(Table1[[#This Row],[Quantity]]&gt;2,"Bulk Order","Normal Order")</f>
        <v>Normal Order</v>
      </c>
      <c r="N852" t="str">
        <f>_xlfn.CONCAT(Table1[[#This Row],[Category]],"-",Table1[[#This Row],[City]])</f>
        <v>Accessories-Kolkata</v>
      </c>
      <c r="O852" t="str">
        <f>LEFT(Table1[[#This Row],[Category]],3)</f>
        <v>Acc</v>
      </c>
      <c r="P852" s="2"/>
    </row>
    <row r="853" spans="1:16" x14ac:dyDescent="0.35">
      <c r="A853" t="s">
        <v>863</v>
      </c>
      <c r="B853" t="s">
        <v>1223</v>
      </c>
      <c r="C853" t="s">
        <v>1224</v>
      </c>
      <c r="D853">
        <v>695</v>
      </c>
      <c r="E853">
        <v>3</v>
      </c>
      <c r="F853" t="s">
        <v>1297</v>
      </c>
      <c r="G853" t="s">
        <v>1585</v>
      </c>
      <c r="H853" t="s">
        <v>1593</v>
      </c>
      <c r="I853">
        <v>2085</v>
      </c>
      <c r="J853">
        <v>20</v>
      </c>
      <c r="K853" t="s">
        <v>1594</v>
      </c>
      <c r="L853" t="s">
        <v>1598</v>
      </c>
      <c r="M853" t="str">
        <f>IF(Table1[[#This Row],[Quantity]]&gt;2,"Bulk Order","Normal Order")</f>
        <v>Bulk Order</v>
      </c>
      <c r="N853" t="str">
        <f>_xlfn.CONCAT(Table1[[#This Row],[Category]],"-",Table1[[#This Row],[City]])</f>
        <v>Lifestyle-Kolkata</v>
      </c>
      <c r="O853" t="str">
        <f>LEFT(Table1[[#This Row],[Category]],3)</f>
        <v>Lif</v>
      </c>
      <c r="P853" s="2"/>
    </row>
    <row r="854" spans="1:16" x14ac:dyDescent="0.35">
      <c r="A854" t="s">
        <v>864</v>
      </c>
      <c r="B854" t="s">
        <v>1223</v>
      </c>
      <c r="C854" t="s">
        <v>1227</v>
      </c>
      <c r="D854">
        <v>491</v>
      </c>
      <c r="E854">
        <v>2</v>
      </c>
      <c r="F854" t="s">
        <v>1559</v>
      </c>
      <c r="G854" t="s">
        <v>1584</v>
      </c>
      <c r="H854" t="s">
        <v>1593</v>
      </c>
      <c r="I854">
        <v>982</v>
      </c>
      <c r="J854">
        <v>35</v>
      </c>
      <c r="K854" t="s">
        <v>1595</v>
      </c>
      <c r="L854" t="s">
        <v>1598</v>
      </c>
      <c r="M854" t="str">
        <f>IF(Table1[[#This Row],[Quantity]]&gt;2,"Bulk Order","Normal Order")</f>
        <v>Normal Order</v>
      </c>
      <c r="N854" t="str">
        <f>_xlfn.CONCAT(Table1[[#This Row],[Category]],"-",Table1[[#This Row],[City]])</f>
        <v>Accessories-Chennai</v>
      </c>
      <c r="O854" t="str">
        <f>LEFT(Table1[[#This Row],[Category]],3)</f>
        <v>Acc</v>
      </c>
      <c r="P854" s="2"/>
    </row>
    <row r="855" spans="1:16" x14ac:dyDescent="0.35">
      <c r="A855" t="s">
        <v>865</v>
      </c>
      <c r="B855" t="s">
        <v>1220</v>
      </c>
      <c r="C855" t="s">
        <v>1228</v>
      </c>
      <c r="D855">
        <v>4318</v>
      </c>
      <c r="E855">
        <v>3</v>
      </c>
      <c r="F855" t="s">
        <v>1429</v>
      </c>
      <c r="G855" t="s">
        <v>1584</v>
      </c>
      <c r="H855" t="s">
        <v>1593</v>
      </c>
      <c r="I855">
        <v>12954</v>
      </c>
      <c r="J855">
        <v>40</v>
      </c>
      <c r="K855" t="s">
        <v>1595</v>
      </c>
      <c r="L855" t="s">
        <v>1598</v>
      </c>
      <c r="M855" t="str">
        <f>IF(Table1[[#This Row],[Quantity]]&gt;2,"Bulk Order","Normal Order")</f>
        <v>Bulk Order</v>
      </c>
      <c r="N855" t="str">
        <f>_xlfn.CONCAT(Table1[[#This Row],[Category]],"-",Table1[[#This Row],[City]])</f>
        <v>Electronics-Chennai</v>
      </c>
      <c r="O855" t="str">
        <f>LEFT(Table1[[#This Row],[Category]],3)</f>
        <v>Ele</v>
      </c>
      <c r="P855" s="2"/>
    </row>
    <row r="856" spans="1:16" x14ac:dyDescent="0.35">
      <c r="A856" t="s">
        <v>866</v>
      </c>
      <c r="B856" t="s">
        <v>1221</v>
      </c>
      <c r="C856" t="s">
        <v>1227</v>
      </c>
      <c r="D856">
        <v>2703</v>
      </c>
      <c r="E856">
        <v>4</v>
      </c>
      <c r="F856" t="s">
        <v>1252</v>
      </c>
      <c r="G856" t="s">
        <v>1586</v>
      </c>
      <c r="H856" t="s">
        <v>1590</v>
      </c>
      <c r="I856">
        <v>10812</v>
      </c>
      <c r="J856">
        <v>85</v>
      </c>
      <c r="K856" t="s">
        <v>1595</v>
      </c>
      <c r="L856" t="s">
        <v>1599</v>
      </c>
      <c r="M856" t="str">
        <f>IF(Table1[[#This Row],[Quantity]]&gt;2,"Bulk Order","Normal Order")</f>
        <v>Bulk Order</v>
      </c>
      <c r="N856" t="str">
        <f>_xlfn.CONCAT(Table1[[#This Row],[Category]],"-",Table1[[#This Row],[City]])</f>
        <v>Accessories-Hyderabad</v>
      </c>
      <c r="O856" t="str">
        <f>LEFT(Table1[[#This Row],[Category]],3)</f>
        <v>Acc</v>
      </c>
      <c r="P856" s="2"/>
    </row>
    <row r="857" spans="1:16" x14ac:dyDescent="0.35">
      <c r="A857" t="s">
        <v>867</v>
      </c>
      <c r="B857" t="s">
        <v>1217</v>
      </c>
      <c r="C857" t="s">
        <v>1226</v>
      </c>
      <c r="D857">
        <v>3174</v>
      </c>
      <c r="E857">
        <v>4</v>
      </c>
      <c r="F857" t="s">
        <v>1345</v>
      </c>
      <c r="G857" t="s">
        <v>1588</v>
      </c>
      <c r="H857" t="s">
        <v>1590</v>
      </c>
      <c r="I857">
        <v>12696</v>
      </c>
      <c r="J857">
        <v>22</v>
      </c>
      <c r="K857" t="s">
        <v>1595</v>
      </c>
      <c r="L857" t="s">
        <v>1598</v>
      </c>
      <c r="M857" t="str">
        <f>IF(Table1[[#This Row],[Quantity]]&gt;2,"Bulk Order","Normal Order")</f>
        <v>Bulk Order</v>
      </c>
      <c r="N857" t="str">
        <f>_xlfn.CONCAT(Table1[[#This Row],[Category]],"-",Table1[[#This Row],[City]])</f>
        <v>Home-Delhi</v>
      </c>
      <c r="O857" t="str">
        <f>LEFT(Table1[[#This Row],[Category]],3)</f>
        <v>Hom</v>
      </c>
      <c r="P857" s="2"/>
    </row>
    <row r="858" spans="1:16" x14ac:dyDescent="0.35">
      <c r="A858" t="s">
        <v>868</v>
      </c>
      <c r="B858" t="s">
        <v>1221</v>
      </c>
      <c r="C858" t="s">
        <v>1226</v>
      </c>
      <c r="D858">
        <v>2632</v>
      </c>
      <c r="E858">
        <v>4</v>
      </c>
      <c r="F858" t="s">
        <v>1250</v>
      </c>
      <c r="G858" t="s">
        <v>1589</v>
      </c>
      <c r="H858" t="s">
        <v>1593</v>
      </c>
      <c r="I858">
        <v>10528</v>
      </c>
      <c r="J858">
        <v>35</v>
      </c>
      <c r="K858" t="s">
        <v>1595</v>
      </c>
      <c r="L858" t="s">
        <v>1599</v>
      </c>
      <c r="M858" t="str">
        <f>IF(Table1[[#This Row],[Quantity]]&gt;2,"Bulk Order","Normal Order")</f>
        <v>Bulk Order</v>
      </c>
      <c r="N858" t="str">
        <f>_xlfn.CONCAT(Table1[[#This Row],[Category]],"-",Table1[[#This Row],[City]])</f>
        <v>Home-Bangalore</v>
      </c>
      <c r="O858" t="str">
        <f>LEFT(Table1[[#This Row],[Category]],3)</f>
        <v>Hom</v>
      </c>
      <c r="P858" s="2"/>
    </row>
    <row r="859" spans="1:16" x14ac:dyDescent="0.35">
      <c r="A859" t="s">
        <v>869</v>
      </c>
      <c r="B859" t="s">
        <v>1215</v>
      </c>
      <c r="C859" t="s">
        <v>1226</v>
      </c>
      <c r="D859">
        <v>2218</v>
      </c>
      <c r="E859">
        <v>3</v>
      </c>
      <c r="F859" t="s">
        <v>1466</v>
      </c>
      <c r="G859" t="s">
        <v>1585</v>
      </c>
      <c r="H859" t="s">
        <v>1590</v>
      </c>
      <c r="I859">
        <v>6654</v>
      </c>
      <c r="J859">
        <v>90</v>
      </c>
      <c r="K859" t="s">
        <v>1594</v>
      </c>
      <c r="L859" t="s">
        <v>1599</v>
      </c>
      <c r="M859" t="str">
        <f>IF(Table1[[#This Row],[Quantity]]&gt;2,"Bulk Order","Normal Order")</f>
        <v>Bulk Order</v>
      </c>
      <c r="N859" t="str">
        <f>_xlfn.CONCAT(Table1[[#This Row],[Category]],"-",Table1[[#This Row],[City]])</f>
        <v>Home-Kolkata</v>
      </c>
      <c r="O859" t="str">
        <f>LEFT(Table1[[#This Row],[Category]],3)</f>
        <v>Hom</v>
      </c>
      <c r="P859" s="2"/>
    </row>
    <row r="860" spans="1:16" x14ac:dyDescent="0.35">
      <c r="A860" t="s">
        <v>870</v>
      </c>
      <c r="B860" t="s">
        <v>1217</v>
      </c>
      <c r="C860" t="s">
        <v>1227</v>
      </c>
      <c r="D860">
        <v>550</v>
      </c>
      <c r="E860">
        <v>3</v>
      </c>
      <c r="F860" t="s">
        <v>1400</v>
      </c>
      <c r="G860" t="s">
        <v>1589</v>
      </c>
      <c r="H860" t="s">
        <v>1590</v>
      </c>
      <c r="I860">
        <v>1650</v>
      </c>
      <c r="J860">
        <v>42</v>
      </c>
      <c r="K860" t="s">
        <v>1594</v>
      </c>
      <c r="L860" t="s">
        <v>1599</v>
      </c>
      <c r="M860" t="str">
        <f>IF(Table1[[#This Row],[Quantity]]&gt;2,"Bulk Order","Normal Order")</f>
        <v>Bulk Order</v>
      </c>
      <c r="N860" t="str">
        <f>_xlfn.CONCAT(Table1[[#This Row],[Category]],"-",Table1[[#This Row],[City]])</f>
        <v>Accessories-Bangalore</v>
      </c>
      <c r="O860" t="str">
        <f>LEFT(Table1[[#This Row],[Category]],3)</f>
        <v>Acc</v>
      </c>
      <c r="P860" s="2"/>
    </row>
    <row r="861" spans="1:16" x14ac:dyDescent="0.35">
      <c r="A861" t="s">
        <v>871</v>
      </c>
      <c r="B861" t="s">
        <v>1215</v>
      </c>
      <c r="C861" t="s">
        <v>1227</v>
      </c>
      <c r="D861">
        <v>4815</v>
      </c>
      <c r="E861">
        <v>3</v>
      </c>
      <c r="F861" t="s">
        <v>1329</v>
      </c>
      <c r="G861" t="s">
        <v>1589</v>
      </c>
      <c r="H861" t="s">
        <v>1590</v>
      </c>
      <c r="I861">
        <v>14445</v>
      </c>
      <c r="J861">
        <v>97</v>
      </c>
      <c r="K861" t="s">
        <v>1595</v>
      </c>
      <c r="L861" t="s">
        <v>1598</v>
      </c>
      <c r="M861" t="str">
        <f>IF(Table1[[#This Row],[Quantity]]&gt;2,"Bulk Order","Normal Order")</f>
        <v>Bulk Order</v>
      </c>
      <c r="N861" t="str">
        <f>_xlfn.CONCAT(Table1[[#This Row],[Category]],"-",Table1[[#This Row],[City]])</f>
        <v>Accessories-Bangalore</v>
      </c>
      <c r="O861" t="str">
        <f>LEFT(Table1[[#This Row],[Category]],3)</f>
        <v>Acc</v>
      </c>
      <c r="P861" s="2"/>
    </row>
    <row r="862" spans="1:16" x14ac:dyDescent="0.35">
      <c r="A862" t="s">
        <v>872</v>
      </c>
      <c r="B862" t="s">
        <v>1219</v>
      </c>
      <c r="C862" t="s">
        <v>1225</v>
      </c>
      <c r="D862">
        <v>4425</v>
      </c>
      <c r="E862">
        <v>2</v>
      </c>
      <c r="F862" t="s">
        <v>1549</v>
      </c>
      <c r="G862" t="s">
        <v>1589</v>
      </c>
      <c r="H862" t="s">
        <v>1593</v>
      </c>
      <c r="I862">
        <v>8850</v>
      </c>
      <c r="J862">
        <v>96</v>
      </c>
      <c r="K862" t="s">
        <v>1595</v>
      </c>
      <c r="L862" t="s">
        <v>1599</v>
      </c>
      <c r="M862" t="str">
        <f>IF(Table1[[#This Row],[Quantity]]&gt;2,"Bulk Order","Normal Order")</f>
        <v>Normal Order</v>
      </c>
      <c r="N862" t="str">
        <f>_xlfn.CONCAT(Table1[[#This Row],[Category]],"-",Table1[[#This Row],[City]])</f>
        <v>Fitness-Bangalore</v>
      </c>
      <c r="O862" t="str">
        <f>LEFT(Table1[[#This Row],[Category]],3)</f>
        <v>Fit</v>
      </c>
      <c r="P862" s="2"/>
    </row>
    <row r="863" spans="1:16" x14ac:dyDescent="0.35">
      <c r="A863" t="s">
        <v>873</v>
      </c>
      <c r="B863" t="s">
        <v>1217</v>
      </c>
      <c r="C863" t="s">
        <v>1225</v>
      </c>
      <c r="D863">
        <v>812</v>
      </c>
      <c r="E863">
        <v>3</v>
      </c>
      <c r="F863" t="s">
        <v>1505</v>
      </c>
      <c r="G863" t="s">
        <v>1586</v>
      </c>
      <c r="H863" t="s">
        <v>1592</v>
      </c>
      <c r="I863">
        <v>2436</v>
      </c>
      <c r="J863">
        <v>75</v>
      </c>
      <c r="K863" t="s">
        <v>1595</v>
      </c>
      <c r="L863" t="s">
        <v>1598</v>
      </c>
      <c r="M863" t="str">
        <f>IF(Table1[[#This Row],[Quantity]]&gt;2,"Bulk Order","Normal Order")</f>
        <v>Bulk Order</v>
      </c>
      <c r="N863" t="str">
        <f>_xlfn.CONCAT(Table1[[#This Row],[Category]],"-",Table1[[#This Row],[City]])</f>
        <v>Fitness-Hyderabad</v>
      </c>
      <c r="O863" t="str">
        <f>LEFT(Table1[[#This Row],[Category]],3)</f>
        <v>Fit</v>
      </c>
      <c r="P863" s="2"/>
    </row>
    <row r="864" spans="1:16" x14ac:dyDescent="0.35">
      <c r="A864" t="s">
        <v>874</v>
      </c>
      <c r="B864" t="s">
        <v>1216</v>
      </c>
      <c r="C864" t="s">
        <v>1225</v>
      </c>
      <c r="D864">
        <v>4715</v>
      </c>
      <c r="E864">
        <v>4</v>
      </c>
      <c r="F864" t="s">
        <v>1251</v>
      </c>
      <c r="G864" t="s">
        <v>1588</v>
      </c>
      <c r="H864" t="s">
        <v>1591</v>
      </c>
      <c r="I864">
        <v>18860</v>
      </c>
      <c r="J864">
        <v>43</v>
      </c>
      <c r="K864" t="s">
        <v>1595</v>
      </c>
      <c r="L864" t="s">
        <v>1599</v>
      </c>
      <c r="M864" t="str">
        <f>IF(Table1[[#This Row],[Quantity]]&gt;2,"Bulk Order","Normal Order")</f>
        <v>Bulk Order</v>
      </c>
      <c r="N864" t="str">
        <f>_xlfn.CONCAT(Table1[[#This Row],[Category]],"-",Table1[[#This Row],[City]])</f>
        <v>Fitness-Delhi</v>
      </c>
      <c r="O864" t="str">
        <f>LEFT(Table1[[#This Row],[Category]],3)</f>
        <v>Fit</v>
      </c>
      <c r="P864" s="2"/>
    </row>
    <row r="865" spans="1:16" x14ac:dyDescent="0.35">
      <c r="A865" t="s">
        <v>875</v>
      </c>
      <c r="B865" t="s">
        <v>1216</v>
      </c>
      <c r="C865" t="s">
        <v>1224</v>
      </c>
      <c r="D865">
        <v>225</v>
      </c>
      <c r="E865">
        <v>2</v>
      </c>
      <c r="F865" t="s">
        <v>1275</v>
      </c>
      <c r="G865" t="s">
        <v>1588</v>
      </c>
      <c r="H865" t="s">
        <v>1593</v>
      </c>
      <c r="I865">
        <v>450</v>
      </c>
      <c r="J865">
        <v>74</v>
      </c>
      <c r="K865" t="s">
        <v>1596</v>
      </c>
      <c r="L865" t="s">
        <v>1599</v>
      </c>
      <c r="M865" t="str">
        <f>IF(Table1[[#This Row],[Quantity]]&gt;2,"Bulk Order","Normal Order")</f>
        <v>Normal Order</v>
      </c>
      <c r="N865" t="str">
        <f>_xlfn.CONCAT(Table1[[#This Row],[Category]],"-",Table1[[#This Row],[City]])</f>
        <v>Lifestyle-Delhi</v>
      </c>
      <c r="O865" t="str">
        <f>LEFT(Table1[[#This Row],[Category]],3)</f>
        <v>Lif</v>
      </c>
      <c r="P865" s="2"/>
    </row>
    <row r="866" spans="1:16" x14ac:dyDescent="0.35">
      <c r="A866" t="s">
        <v>876</v>
      </c>
      <c r="B866" t="s">
        <v>1219</v>
      </c>
      <c r="C866" t="s">
        <v>1225</v>
      </c>
      <c r="D866">
        <v>334</v>
      </c>
      <c r="E866">
        <v>3</v>
      </c>
      <c r="F866" t="s">
        <v>1372</v>
      </c>
      <c r="G866" t="s">
        <v>1589</v>
      </c>
      <c r="H866" t="s">
        <v>1591</v>
      </c>
      <c r="I866">
        <v>1002</v>
      </c>
      <c r="J866">
        <v>74</v>
      </c>
      <c r="K866" t="s">
        <v>1595</v>
      </c>
      <c r="L866" t="s">
        <v>1599</v>
      </c>
      <c r="M866" t="str">
        <f>IF(Table1[[#This Row],[Quantity]]&gt;2,"Bulk Order","Normal Order")</f>
        <v>Bulk Order</v>
      </c>
      <c r="N866" t="str">
        <f>_xlfn.CONCAT(Table1[[#This Row],[Category]],"-",Table1[[#This Row],[City]])</f>
        <v>Fitness-Bangalore</v>
      </c>
      <c r="O866" t="str">
        <f>LEFT(Table1[[#This Row],[Category]],3)</f>
        <v>Fit</v>
      </c>
      <c r="P866" s="2"/>
    </row>
    <row r="867" spans="1:16" x14ac:dyDescent="0.35">
      <c r="A867" t="s">
        <v>877</v>
      </c>
      <c r="B867" t="s">
        <v>1222</v>
      </c>
      <c r="C867" t="s">
        <v>1227</v>
      </c>
      <c r="D867">
        <v>3889</v>
      </c>
      <c r="E867">
        <v>4</v>
      </c>
      <c r="F867" t="s">
        <v>1341</v>
      </c>
      <c r="G867" t="s">
        <v>1589</v>
      </c>
      <c r="H867" t="s">
        <v>1592</v>
      </c>
      <c r="I867">
        <v>15556</v>
      </c>
      <c r="J867">
        <v>82</v>
      </c>
      <c r="K867" t="s">
        <v>1594</v>
      </c>
      <c r="L867" t="s">
        <v>1599</v>
      </c>
      <c r="M867" t="str">
        <f>IF(Table1[[#This Row],[Quantity]]&gt;2,"Bulk Order","Normal Order")</f>
        <v>Bulk Order</v>
      </c>
      <c r="N867" t="str">
        <f>_xlfn.CONCAT(Table1[[#This Row],[Category]],"-",Table1[[#This Row],[City]])</f>
        <v>Accessories-Bangalore</v>
      </c>
      <c r="O867" t="str">
        <f>LEFT(Table1[[#This Row],[Category]],3)</f>
        <v>Acc</v>
      </c>
      <c r="P867" s="2"/>
    </row>
    <row r="868" spans="1:16" x14ac:dyDescent="0.35">
      <c r="A868" t="s">
        <v>878</v>
      </c>
      <c r="B868" t="s">
        <v>1219</v>
      </c>
      <c r="C868" t="s">
        <v>1227</v>
      </c>
      <c r="D868">
        <v>4576</v>
      </c>
      <c r="E868">
        <v>1</v>
      </c>
      <c r="F868" t="s">
        <v>1514</v>
      </c>
      <c r="G868" t="s">
        <v>1586</v>
      </c>
      <c r="H868" t="s">
        <v>1593</v>
      </c>
      <c r="I868">
        <v>4576</v>
      </c>
      <c r="J868">
        <v>76</v>
      </c>
      <c r="K868" t="s">
        <v>1595</v>
      </c>
      <c r="L868" t="s">
        <v>1599</v>
      </c>
      <c r="M868" t="str">
        <f>IF(Table1[[#This Row],[Quantity]]&gt;2,"Bulk Order","Normal Order")</f>
        <v>Normal Order</v>
      </c>
      <c r="N868" t="str">
        <f>_xlfn.CONCAT(Table1[[#This Row],[Category]],"-",Table1[[#This Row],[City]])</f>
        <v>Accessories-Hyderabad</v>
      </c>
      <c r="O868" t="str">
        <f>LEFT(Table1[[#This Row],[Category]],3)</f>
        <v>Acc</v>
      </c>
      <c r="P868" s="2"/>
    </row>
    <row r="869" spans="1:16" x14ac:dyDescent="0.35">
      <c r="A869" t="s">
        <v>879</v>
      </c>
      <c r="B869" t="s">
        <v>1214</v>
      </c>
      <c r="C869" t="s">
        <v>1225</v>
      </c>
      <c r="D869">
        <v>3914</v>
      </c>
      <c r="E869">
        <v>3</v>
      </c>
      <c r="F869" t="s">
        <v>1285</v>
      </c>
      <c r="G869" t="s">
        <v>1586</v>
      </c>
      <c r="H869" t="s">
        <v>1593</v>
      </c>
      <c r="I869">
        <v>11742</v>
      </c>
      <c r="J869">
        <v>30</v>
      </c>
      <c r="K869" t="s">
        <v>1594</v>
      </c>
      <c r="L869" t="s">
        <v>1599</v>
      </c>
      <c r="M869" t="str">
        <f>IF(Table1[[#This Row],[Quantity]]&gt;2,"Bulk Order","Normal Order")</f>
        <v>Bulk Order</v>
      </c>
      <c r="N869" t="str">
        <f>_xlfn.CONCAT(Table1[[#This Row],[Category]],"-",Table1[[#This Row],[City]])</f>
        <v>Fitness-Hyderabad</v>
      </c>
      <c r="O869" t="str">
        <f>LEFT(Table1[[#This Row],[Category]],3)</f>
        <v>Fit</v>
      </c>
      <c r="P869" s="2"/>
    </row>
    <row r="870" spans="1:16" x14ac:dyDescent="0.35">
      <c r="A870" t="s">
        <v>880</v>
      </c>
      <c r="B870" t="s">
        <v>1217</v>
      </c>
      <c r="C870" t="s">
        <v>1224</v>
      </c>
      <c r="D870">
        <v>3863</v>
      </c>
      <c r="E870">
        <v>1</v>
      </c>
      <c r="F870" t="s">
        <v>1246</v>
      </c>
      <c r="G870" t="s">
        <v>1588</v>
      </c>
      <c r="H870" t="s">
        <v>1593</v>
      </c>
      <c r="I870">
        <v>3863</v>
      </c>
      <c r="J870">
        <v>78</v>
      </c>
      <c r="K870" t="s">
        <v>1595</v>
      </c>
      <c r="L870" t="s">
        <v>1599</v>
      </c>
      <c r="M870" t="str">
        <f>IF(Table1[[#This Row],[Quantity]]&gt;2,"Bulk Order","Normal Order")</f>
        <v>Normal Order</v>
      </c>
      <c r="N870" t="str">
        <f>_xlfn.CONCAT(Table1[[#This Row],[Category]],"-",Table1[[#This Row],[City]])</f>
        <v>Lifestyle-Delhi</v>
      </c>
      <c r="O870" t="str">
        <f>LEFT(Table1[[#This Row],[Category]],3)</f>
        <v>Lif</v>
      </c>
      <c r="P870" s="2"/>
    </row>
    <row r="871" spans="1:16" x14ac:dyDescent="0.35">
      <c r="A871" t="s">
        <v>881</v>
      </c>
      <c r="B871" t="s">
        <v>1220</v>
      </c>
      <c r="C871" t="s">
        <v>1227</v>
      </c>
      <c r="D871">
        <v>2872</v>
      </c>
      <c r="E871">
        <v>3</v>
      </c>
      <c r="F871" t="s">
        <v>1340</v>
      </c>
      <c r="G871" t="s">
        <v>1588</v>
      </c>
      <c r="H871" t="s">
        <v>1592</v>
      </c>
      <c r="I871">
        <v>8616</v>
      </c>
      <c r="J871">
        <v>56</v>
      </c>
      <c r="K871" t="s">
        <v>1595</v>
      </c>
      <c r="L871" t="s">
        <v>1597</v>
      </c>
      <c r="M871" t="str">
        <f>IF(Table1[[#This Row],[Quantity]]&gt;2,"Bulk Order","Normal Order")</f>
        <v>Bulk Order</v>
      </c>
      <c r="N871" t="str">
        <f>_xlfn.CONCAT(Table1[[#This Row],[Category]],"-",Table1[[#This Row],[City]])</f>
        <v>Accessories-Delhi</v>
      </c>
      <c r="O871" t="str">
        <f>LEFT(Table1[[#This Row],[Category]],3)</f>
        <v>Acc</v>
      </c>
      <c r="P871" s="2"/>
    </row>
    <row r="872" spans="1:16" x14ac:dyDescent="0.35">
      <c r="A872" t="s">
        <v>882</v>
      </c>
      <c r="B872" t="s">
        <v>1217</v>
      </c>
      <c r="C872" t="s">
        <v>1228</v>
      </c>
      <c r="D872">
        <v>961</v>
      </c>
      <c r="E872">
        <v>1</v>
      </c>
      <c r="F872" t="s">
        <v>1393</v>
      </c>
      <c r="G872" t="s">
        <v>1588</v>
      </c>
      <c r="H872" t="s">
        <v>1592</v>
      </c>
      <c r="I872">
        <v>961</v>
      </c>
      <c r="J872">
        <v>85</v>
      </c>
      <c r="K872" t="s">
        <v>1594</v>
      </c>
      <c r="L872" t="s">
        <v>1597</v>
      </c>
      <c r="M872" t="str">
        <f>IF(Table1[[#This Row],[Quantity]]&gt;2,"Bulk Order","Normal Order")</f>
        <v>Normal Order</v>
      </c>
      <c r="N872" t="str">
        <f>_xlfn.CONCAT(Table1[[#This Row],[Category]],"-",Table1[[#This Row],[City]])</f>
        <v>Electronics-Delhi</v>
      </c>
      <c r="O872" t="str">
        <f>LEFT(Table1[[#This Row],[Category]],3)</f>
        <v>Ele</v>
      </c>
      <c r="P872" s="2"/>
    </row>
    <row r="873" spans="1:16" x14ac:dyDescent="0.35">
      <c r="A873" t="s">
        <v>883</v>
      </c>
      <c r="B873" t="s">
        <v>1218</v>
      </c>
      <c r="C873" t="s">
        <v>1227</v>
      </c>
      <c r="D873">
        <v>2035</v>
      </c>
      <c r="E873">
        <v>1</v>
      </c>
      <c r="F873" t="s">
        <v>1334</v>
      </c>
      <c r="G873" t="s">
        <v>1587</v>
      </c>
      <c r="H873" t="s">
        <v>1593</v>
      </c>
      <c r="I873">
        <v>2035</v>
      </c>
      <c r="J873">
        <v>44</v>
      </c>
      <c r="K873" t="s">
        <v>1596</v>
      </c>
      <c r="L873" t="s">
        <v>1599</v>
      </c>
      <c r="M873" t="str">
        <f>IF(Table1[[#This Row],[Quantity]]&gt;2,"Bulk Order","Normal Order")</f>
        <v>Normal Order</v>
      </c>
      <c r="N873" t="str">
        <f>_xlfn.CONCAT(Table1[[#This Row],[Category]],"-",Table1[[#This Row],[City]])</f>
        <v>Accessories-Mumbai</v>
      </c>
      <c r="O873" t="str">
        <f>LEFT(Table1[[#This Row],[Category]],3)</f>
        <v>Acc</v>
      </c>
      <c r="P873" s="2"/>
    </row>
    <row r="874" spans="1:16" x14ac:dyDescent="0.35">
      <c r="A874" t="s">
        <v>884</v>
      </c>
      <c r="B874" t="s">
        <v>1217</v>
      </c>
      <c r="C874" t="s">
        <v>1227</v>
      </c>
      <c r="D874">
        <v>2955</v>
      </c>
      <c r="E874">
        <v>3</v>
      </c>
      <c r="F874" t="s">
        <v>1523</v>
      </c>
      <c r="G874" t="s">
        <v>1589</v>
      </c>
      <c r="H874" t="s">
        <v>1590</v>
      </c>
      <c r="I874">
        <v>8865</v>
      </c>
      <c r="J874">
        <v>44</v>
      </c>
      <c r="K874" t="s">
        <v>1595</v>
      </c>
      <c r="L874" t="s">
        <v>1599</v>
      </c>
      <c r="M874" t="str">
        <f>IF(Table1[[#This Row],[Quantity]]&gt;2,"Bulk Order","Normal Order")</f>
        <v>Bulk Order</v>
      </c>
      <c r="N874" t="str">
        <f>_xlfn.CONCAT(Table1[[#This Row],[Category]],"-",Table1[[#This Row],[City]])</f>
        <v>Accessories-Bangalore</v>
      </c>
      <c r="O874" t="str">
        <f>LEFT(Table1[[#This Row],[Category]],3)</f>
        <v>Acc</v>
      </c>
      <c r="P874" s="2"/>
    </row>
    <row r="875" spans="1:16" x14ac:dyDescent="0.35">
      <c r="A875" t="s">
        <v>885</v>
      </c>
      <c r="B875" t="s">
        <v>1212</v>
      </c>
      <c r="C875" t="s">
        <v>1227</v>
      </c>
      <c r="D875">
        <v>3597</v>
      </c>
      <c r="E875">
        <v>4</v>
      </c>
      <c r="F875" t="s">
        <v>1505</v>
      </c>
      <c r="G875" t="s">
        <v>1584</v>
      </c>
      <c r="H875" t="s">
        <v>1592</v>
      </c>
      <c r="I875">
        <v>14388</v>
      </c>
      <c r="J875">
        <v>59</v>
      </c>
      <c r="K875" t="s">
        <v>1594</v>
      </c>
      <c r="L875" t="s">
        <v>1599</v>
      </c>
      <c r="M875" t="str">
        <f>IF(Table1[[#This Row],[Quantity]]&gt;2,"Bulk Order","Normal Order")</f>
        <v>Bulk Order</v>
      </c>
      <c r="N875" t="str">
        <f>_xlfn.CONCAT(Table1[[#This Row],[Category]],"-",Table1[[#This Row],[City]])</f>
        <v>Accessories-Chennai</v>
      </c>
      <c r="O875" t="str">
        <f>LEFT(Table1[[#This Row],[Category]],3)</f>
        <v>Acc</v>
      </c>
      <c r="P875" s="2"/>
    </row>
    <row r="876" spans="1:16" x14ac:dyDescent="0.35">
      <c r="A876" t="s">
        <v>886</v>
      </c>
      <c r="B876" t="s">
        <v>1216</v>
      </c>
      <c r="C876" t="s">
        <v>1226</v>
      </c>
      <c r="D876">
        <v>2399</v>
      </c>
      <c r="E876">
        <v>2</v>
      </c>
      <c r="F876" t="s">
        <v>1369</v>
      </c>
      <c r="G876" t="s">
        <v>1588</v>
      </c>
      <c r="H876" t="s">
        <v>1590</v>
      </c>
      <c r="I876">
        <v>4798</v>
      </c>
      <c r="J876">
        <v>52</v>
      </c>
      <c r="K876" t="s">
        <v>1595</v>
      </c>
      <c r="L876" t="s">
        <v>1598</v>
      </c>
      <c r="M876" t="str">
        <f>IF(Table1[[#This Row],[Quantity]]&gt;2,"Bulk Order","Normal Order")</f>
        <v>Normal Order</v>
      </c>
      <c r="N876" t="str">
        <f>_xlfn.CONCAT(Table1[[#This Row],[Category]],"-",Table1[[#This Row],[City]])</f>
        <v>Home-Delhi</v>
      </c>
      <c r="O876" t="str">
        <f>LEFT(Table1[[#This Row],[Category]],3)</f>
        <v>Hom</v>
      </c>
      <c r="P876" s="2"/>
    </row>
    <row r="877" spans="1:16" x14ac:dyDescent="0.35">
      <c r="A877" t="s">
        <v>887</v>
      </c>
      <c r="B877" t="s">
        <v>1223</v>
      </c>
      <c r="C877" t="s">
        <v>1227</v>
      </c>
      <c r="D877">
        <v>4909</v>
      </c>
      <c r="E877">
        <v>2</v>
      </c>
      <c r="F877" t="s">
        <v>1479</v>
      </c>
      <c r="G877" t="s">
        <v>1589</v>
      </c>
      <c r="H877" t="s">
        <v>1592</v>
      </c>
      <c r="I877">
        <v>9818</v>
      </c>
      <c r="J877">
        <v>65</v>
      </c>
      <c r="K877" t="s">
        <v>1594</v>
      </c>
      <c r="L877" t="s">
        <v>1599</v>
      </c>
      <c r="M877" t="str">
        <f>IF(Table1[[#This Row],[Quantity]]&gt;2,"Bulk Order","Normal Order")</f>
        <v>Normal Order</v>
      </c>
      <c r="N877" t="str">
        <f>_xlfn.CONCAT(Table1[[#This Row],[Category]],"-",Table1[[#This Row],[City]])</f>
        <v>Accessories-Bangalore</v>
      </c>
      <c r="O877" t="str">
        <f>LEFT(Table1[[#This Row],[Category]],3)</f>
        <v>Acc</v>
      </c>
      <c r="P877" s="2"/>
    </row>
    <row r="878" spans="1:16" x14ac:dyDescent="0.35">
      <c r="A878" t="s">
        <v>888</v>
      </c>
      <c r="B878" t="s">
        <v>1221</v>
      </c>
      <c r="C878" t="s">
        <v>1226</v>
      </c>
      <c r="D878">
        <v>4965</v>
      </c>
      <c r="E878">
        <v>3</v>
      </c>
      <c r="F878" t="s">
        <v>1277</v>
      </c>
      <c r="G878" t="s">
        <v>1589</v>
      </c>
      <c r="H878" t="s">
        <v>1591</v>
      </c>
      <c r="I878">
        <v>14895</v>
      </c>
      <c r="J878">
        <v>71</v>
      </c>
      <c r="K878" t="s">
        <v>1595</v>
      </c>
      <c r="L878" t="s">
        <v>1597</v>
      </c>
      <c r="M878" t="str">
        <f>IF(Table1[[#This Row],[Quantity]]&gt;2,"Bulk Order","Normal Order")</f>
        <v>Bulk Order</v>
      </c>
      <c r="N878" t="str">
        <f>_xlfn.CONCAT(Table1[[#This Row],[Category]],"-",Table1[[#This Row],[City]])</f>
        <v>Home-Bangalore</v>
      </c>
      <c r="O878" t="str">
        <f>LEFT(Table1[[#This Row],[Category]],3)</f>
        <v>Hom</v>
      </c>
      <c r="P878" s="2"/>
    </row>
    <row r="879" spans="1:16" x14ac:dyDescent="0.35">
      <c r="A879" t="s">
        <v>889</v>
      </c>
      <c r="B879" t="s">
        <v>1212</v>
      </c>
      <c r="C879" t="s">
        <v>1224</v>
      </c>
      <c r="D879">
        <v>1282</v>
      </c>
      <c r="E879">
        <v>3</v>
      </c>
      <c r="F879" t="s">
        <v>1360</v>
      </c>
      <c r="G879" t="s">
        <v>1586</v>
      </c>
      <c r="H879" t="s">
        <v>1591</v>
      </c>
      <c r="I879">
        <v>3846</v>
      </c>
      <c r="J879">
        <v>64</v>
      </c>
      <c r="K879" t="s">
        <v>1595</v>
      </c>
      <c r="L879" t="s">
        <v>1597</v>
      </c>
      <c r="M879" t="str">
        <f>IF(Table1[[#This Row],[Quantity]]&gt;2,"Bulk Order","Normal Order")</f>
        <v>Bulk Order</v>
      </c>
      <c r="N879" t="str">
        <f>_xlfn.CONCAT(Table1[[#This Row],[Category]],"-",Table1[[#This Row],[City]])</f>
        <v>Lifestyle-Hyderabad</v>
      </c>
      <c r="O879" t="str">
        <f>LEFT(Table1[[#This Row],[Category]],3)</f>
        <v>Lif</v>
      </c>
      <c r="P879" s="2"/>
    </row>
    <row r="880" spans="1:16" x14ac:dyDescent="0.35">
      <c r="A880" t="s">
        <v>890</v>
      </c>
      <c r="B880" t="s">
        <v>1219</v>
      </c>
      <c r="C880" t="s">
        <v>1224</v>
      </c>
      <c r="D880">
        <v>3074</v>
      </c>
      <c r="E880">
        <v>4</v>
      </c>
      <c r="F880" t="s">
        <v>1268</v>
      </c>
      <c r="G880" t="s">
        <v>1589</v>
      </c>
      <c r="H880" t="s">
        <v>1592</v>
      </c>
      <c r="I880">
        <v>12296</v>
      </c>
      <c r="J880">
        <v>24</v>
      </c>
      <c r="K880" t="s">
        <v>1595</v>
      </c>
      <c r="L880" t="s">
        <v>1598</v>
      </c>
      <c r="M880" t="str">
        <f>IF(Table1[[#This Row],[Quantity]]&gt;2,"Bulk Order","Normal Order")</f>
        <v>Bulk Order</v>
      </c>
      <c r="N880" t="str">
        <f>_xlfn.CONCAT(Table1[[#This Row],[Category]],"-",Table1[[#This Row],[City]])</f>
        <v>Lifestyle-Bangalore</v>
      </c>
      <c r="O880" t="str">
        <f>LEFT(Table1[[#This Row],[Category]],3)</f>
        <v>Lif</v>
      </c>
      <c r="P880" s="2"/>
    </row>
    <row r="881" spans="1:16" x14ac:dyDescent="0.35">
      <c r="A881" t="s">
        <v>891</v>
      </c>
      <c r="B881" t="s">
        <v>1218</v>
      </c>
      <c r="C881" t="s">
        <v>1224</v>
      </c>
      <c r="D881">
        <v>2651</v>
      </c>
      <c r="E881">
        <v>1</v>
      </c>
      <c r="F881" t="s">
        <v>1491</v>
      </c>
      <c r="G881" t="s">
        <v>1588</v>
      </c>
      <c r="H881" t="s">
        <v>1593</v>
      </c>
      <c r="I881">
        <v>2651</v>
      </c>
      <c r="J881">
        <v>36</v>
      </c>
      <c r="K881" t="s">
        <v>1594</v>
      </c>
      <c r="L881" t="s">
        <v>1597</v>
      </c>
      <c r="M881" t="str">
        <f>IF(Table1[[#This Row],[Quantity]]&gt;2,"Bulk Order","Normal Order")</f>
        <v>Normal Order</v>
      </c>
      <c r="N881" t="str">
        <f>_xlfn.CONCAT(Table1[[#This Row],[Category]],"-",Table1[[#This Row],[City]])</f>
        <v>Lifestyle-Delhi</v>
      </c>
      <c r="O881" t="str">
        <f>LEFT(Table1[[#This Row],[Category]],3)</f>
        <v>Lif</v>
      </c>
      <c r="P881" s="2"/>
    </row>
    <row r="882" spans="1:16" x14ac:dyDescent="0.35">
      <c r="A882" t="s">
        <v>892</v>
      </c>
      <c r="B882" t="s">
        <v>1217</v>
      </c>
      <c r="C882" t="s">
        <v>1225</v>
      </c>
      <c r="D882">
        <v>1092</v>
      </c>
      <c r="E882">
        <v>2</v>
      </c>
      <c r="F882" t="s">
        <v>1512</v>
      </c>
      <c r="G882" t="s">
        <v>1588</v>
      </c>
      <c r="H882" t="s">
        <v>1593</v>
      </c>
      <c r="I882">
        <v>2184</v>
      </c>
      <c r="J882">
        <v>70</v>
      </c>
      <c r="K882" t="s">
        <v>1594</v>
      </c>
      <c r="L882" t="s">
        <v>1598</v>
      </c>
      <c r="M882" t="str">
        <f>IF(Table1[[#This Row],[Quantity]]&gt;2,"Bulk Order","Normal Order")</f>
        <v>Normal Order</v>
      </c>
      <c r="N882" t="str">
        <f>_xlfn.CONCAT(Table1[[#This Row],[Category]],"-",Table1[[#This Row],[City]])</f>
        <v>Fitness-Delhi</v>
      </c>
      <c r="O882" t="str">
        <f>LEFT(Table1[[#This Row],[Category]],3)</f>
        <v>Fit</v>
      </c>
      <c r="P882" s="2"/>
    </row>
    <row r="883" spans="1:16" x14ac:dyDescent="0.35">
      <c r="A883" t="s">
        <v>893</v>
      </c>
      <c r="B883" t="s">
        <v>1217</v>
      </c>
      <c r="C883" t="s">
        <v>1226</v>
      </c>
      <c r="D883">
        <v>586</v>
      </c>
      <c r="E883">
        <v>1</v>
      </c>
      <c r="F883" t="s">
        <v>1413</v>
      </c>
      <c r="G883" t="s">
        <v>1589</v>
      </c>
      <c r="H883" t="s">
        <v>1593</v>
      </c>
      <c r="I883">
        <v>586</v>
      </c>
      <c r="J883">
        <v>57</v>
      </c>
      <c r="K883" t="s">
        <v>1596</v>
      </c>
      <c r="L883" t="s">
        <v>1597</v>
      </c>
      <c r="M883" t="str">
        <f>IF(Table1[[#This Row],[Quantity]]&gt;2,"Bulk Order","Normal Order")</f>
        <v>Normal Order</v>
      </c>
      <c r="N883" t="str">
        <f>_xlfn.CONCAT(Table1[[#This Row],[Category]],"-",Table1[[#This Row],[City]])</f>
        <v>Home-Bangalore</v>
      </c>
      <c r="O883" t="str">
        <f>LEFT(Table1[[#This Row],[Category]],3)</f>
        <v>Hom</v>
      </c>
      <c r="P883" s="2"/>
    </row>
    <row r="884" spans="1:16" x14ac:dyDescent="0.35">
      <c r="A884" t="s">
        <v>894</v>
      </c>
      <c r="B884" t="s">
        <v>1215</v>
      </c>
      <c r="C884" t="s">
        <v>1228</v>
      </c>
      <c r="D884">
        <v>676</v>
      </c>
      <c r="E884">
        <v>3</v>
      </c>
      <c r="F884" t="s">
        <v>1244</v>
      </c>
      <c r="G884" t="s">
        <v>1587</v>
      </c>
      <c r="H884" t="s">
        <v>1591</v>
      </c>
      <c r="I884">
        <v>2028</v>
      </c>
      <c r="J884">
        <v>78</v>
      </c>
      <c r="K884" t="s">
        <v>1595</v>
      </c>
      <c r="L884" t="s">
        <v>1598</v>
      </c>
      <c r="M884" t="str">
        <f>IF(Table1[[#This Row],[Quantity]]&gt;2,"Bulk Order","Normal Order")</f>
        <v>Bulk Order</v>
      </c>
      <c r="N884" t="str">
        <f>_xlfn.CONCAT(Table1[[#This Row],[Category]],"-",Table1[[#This Row],[City]])</f>
        <v>Electronics-Mumbai</v>
      </c>
      <c r="O884" t="str">
        <f>LEFT(Table1[[#This Row],[Category]],3)</f>
        <v>Ele</v>
      </c>
      <c r="P884" s="2"/>
    </row>
    <row r="885" spans="1:16" x14ac:dyDescent="0.35">
      <c r="A885" t="s">
        <v>895</v>
      </c>
      <c r="B885" t="s">
        <v>1213</v>
      </c>
      <c r="C885" t="s">
        <v>1224</v>
      </c>
      <c r="D885">
        <v>3143</v>
      </c>
      <c r="E885">
        <v>3</v>
      </c>
      <c r="F885" t="s">
        <v>1425</v>
      </c>
      <c r="G885" t="s">
        <v>1589</v>
      </c>
      <c r="H885" t="s">
        <v>1590</v>
      </c>
      <c r="I885">
        <v>9429</v>
      </c>
      <c r="J885">
        <v>88</v>
      </c>
      <c r="K885" t="s">
        <v>1595</v>
      </c>
      <c r="L885" t="s">
        <v>1599</v>
      </c>
      <c r="M885" t="str">
        <f>IF(Table1[[#This Row],[Quantity]]&gt;2,"Bulk Order","Normal Order")</f>
        <v>Bulk Order</v>
      </c>
      <c r="N885" t="str">
        <f>_xlfn.CONCAT(Table1[[#This Row],[Category]],"-",Table1[[#This Row],[City]])</f>
        <v>Lifestyle-Bangalore</v>
      </c>
      <c r="O885" t="str">
        <f>LEFT(Table1[[#This Row],[Category]],3)</f>
        <v>Lif</v>
      </c>
      <c r="P885" s="2"/>
    </row>
    <row r="886" spans="1:16" x14ac:dyDescent="0.35">
      <c r="A886" t="s">
        <v>896</v>
      </c>
      <c r="B886" t="s">
        <v>1223</v>
      </c>
      <c r="C886" t="s">
        <v>1225</v>
      </c>
      <c r="D886">
        <v>1651</v>
      </c>
      <c r="E886">
        <v>4</v>
      </c>
      <c r="F886" t="s">
        <v>1238</v>
      </c>
      <c r="G886" t="s">
        <v>1588</v>
      </c>
      <c r="H886" t="s">
        <v>1591</v>
      </c>
      <c r="I886">
        <v>6604</v>
      </c>
      <c r="J886">
        <v>83</v>
      </c>
      <c r="K886" t="s">
        <v>1594</v>
      </c>
      <c r="L886" t="s">
        <v>1598</v>
      </c>
      <c r="M886" t="str">
        <f>IF(Table1[[#This Row],[Quantity]]&gt;2,"Bulk Order","Normal Order")</f>
        <v>Bulk Order</v>
      </c>
      <c r="N886" t="str">
        <f>_xlfn.CONCAT(Table1[[#This Row],[Category]],"-",Table1[[#This Row],[City]])</f>
        <v>Fitness-Delhi</v>
      </c>
      <c r="O886" t="str">
        <f>LEFT(Table1[[#This Row],[Category]],3)</f>
        <v>Fit</v>
      </c>
      <c r="P886" s="2"/>
    </row>
    <row r="887" spans="1:16" x14ac:dyDescent="0.35">
      <c r="A887" t="s">
        <v>897</v>
      </c>
      <c r="B887" t="s">
        <v>1215</v>
      </c>
      <c r="C887" t="s">
        <v>1224</v>
      </c>
      <c r="D887">
        <v>3067</v>
      </c>
      <c r="E887">
        <v>2</v>
      </c>
      <c r="F887" t="s">
        <v>1254</v>
      </c>
      <c r="G887" t="s">
        <v>1585</v>
      </c>
      <c r="H887" t="s">
        <v>1591</v>
      </c>
      <c r="I887">
        <v>6134</v>
      </c>
      <c r="J887">
        <v>29</v>
      </c>
      <c r="K887" t="s">
        <v>1595</v>
      </c>
      <c r="L887" t="s">
        <v>1599</v>
      </c>
      <c r="M887" t="str">
        <f>IF(Table1[[#This Row],[Quantity]]&gt;2,"Bulk Order","Normal Order")</f>
        <v>Normal Order</v>
      </c>
      <c r="N887" t="str">
        <f>_xlfn.CONCAT(Table1[[#This Row],[Category]],"-",Table1[[#This Row],[City]])</f>
        <v>Lifestyle-Kolkata</v>
      </c>
      <c r="O887" t="str">
        <f>LEFT(Table1[[#This Row],[Category]],3)</f>
        <v>Lif</v>
      </c>
      <c r="P887" s="2"/>
    </row>
    <row r="888" spans="1:16" x14ac:dyDescent="0.35">
      <c r="A888" t="s">
        <v>898</v>
      </c>
      <c r="B888" t="s">
        <v>1218</v>
      </c>
      <c r="C888" t="s">
        <v>1224</v>
      </c>
      <c r="D888">
        <v>773</v>
      </c>
      <c r="E888">
        <v>3</v>
      </c>
      <c r="F888" t="s">
        <v>1324</v>
      </c>
      <c r="G888" t="s">
        <v>1586</v>
      </c>
      <c r="H888" t="s">
        <v>1591</v>
      </c>
      <c r="I888">
        <v>2319</v>
      </c>
      <c r="J888">
        <v>88</v>
      </c>
      <c r="K888" t="s">
        <v>1594</v>
      </c>
      <c r="L888" t="s">
        <v>1597</v>
      </c>
      <c r="M888" t="str">
        <f>IF(Table1[[#This Row],[Quantity]]&gt;2,"Bulk Order","Normal Order")</f>
        <v>Bulk Order</v>
      </c>
      <c r="N888" t="str">
        <f>_xlfn.CONCAT(Table1[[#This Row],[Category]],"-",Table1[[#This Row],[City]])</f>
        <v>Lifestyle-Hyderabad</v>
      </c>
      <c r="O888" t="str">
        <f>LEFT(Table1[[#This Row],[Category]],3)</f>
        <v>Lif</v>
      </c>
      <c r="P888" s="2"/>
    </row>
    <row r="889" spans="1:16" x14ac:dyDescent="0.35">
      <c r="A889" t="s">
        <v>899</v>
      </c>
      <c r="B889" t="s">
        <v>1221</v>
      </c>
      <c r="C889" t="s">
        <v>1228</v>
      </c>
      <c r="D889">
        <v>3241</v>
      </c>
      <c r="E889">
        <v>4</v>
      </c>
      <c r="F889" t="s">
        <v>1265</v>
      </c>
      <c r="G889" t="s">
        <v>1586</v>
      </c>
      <c r="H889" t="s">
        <v>1591</v>
      </c>
      <c r="I889">
        <v>12964</v>
      </c>
      <c r="J889">
        <v>91</v>
      </c>
      <c r="K889" t="s">
        <v>1595</v>
      </c>
      <c r="L889" t="s">
        <v>1597</v>
      </c>
      <c r="M889" t="str">
        <f>IF(Table1[[#This Row],[Quantity]]&gt;2,"Bulk Order","Normal Order")</f>
        <v>Bulk Order</v>
      </c>
      <c r="N889" t="str">
        <f>_xlfn.CONCAT(Table1[[#This Row],[Category]],"-",Table1[[#This Row],[City]])</f>
        <v>Electronics-Hyderabad</v>
      </c>
      <c r="O889" t="str">
        <f>LEFT(Table1[[#This Row],[Category]],3)</f>
        <v>Ele</v>
      </c>
      <c r="P889" s="2"/>
    </row>
    <row r="890" spans="1:16" x14ac:dyDescent="0.35">
      <c r="A890" t="s">
        <v>900</v>
      </c>
      <c r="B890" t="s">
        <v>1222</v>
      </c>
      <c r="C890" t="s">
        <v>1224</v>
      </c>
      <c r="D890">
        <v>2865</v>
      </c>
      <c r="E890">
        <v>3</v>
      </c>
      <c r="F890" t="s">
        <v>1564</v>
      </c>
      <c r="G890" t="s">
        <v>1584</v>
      </c>
      <c r="H890" t="s">
        <v>1592</v>
      </c>
      <c r="I890">
        <v>8595</v>
      </c>
      <c r="J890">
        <v>76</v>
      </c>
      <c r="K890" t="s">
        <v>1595</v>
      </c>
      <c r="L890" t="s">
        <v>1599</v>
      </c>
      <c r="M890" t="str">
        <f>IF(Table1[[#This Row],[Quantity]]&gt;2,"Bulk Order","Normal Order")</f>
        <v>Bulk Order</v>
      </c>
      <c r="N890" t="str">
        <f>_xlfn.CONCAT(Table1[[#This Row],[Category]],"-",Table1[[#This Row],[City]])</f>
        <v>Lifestyle-Chennai</v>
      </c>
      <c r="O890" t="str">
        <f>LEFT(Table1[[#This Row],[Category]],3)</f>
        <v>Lif</v>
      </c>
      <c r="P890" s="2"/>
    </row>
    <row r="891" spans="1:16" x14ac:dyDescent="0.35">
      <c r="A891" t="s">
        <v>901</v>
      </c>
      <c r="B891" t="s">
        <v>1221</v>
      </c>
      <c r="C891" t="s">
        <v>1224</v>
      </c>
      <c r="D891">
        <v>2462</v>
      </c>
      <c r="E891">
        <v>2</v>
      </c>
      <c r="F891" t="s">
        <v>1489</v>
      </c>
      <c r="G891" t="s">
        <v>1587</v>
      </c>
      <c r="H891" t="s">
        <v>1591</v>
      </c>
      <c r="I891">
        <v>4924</v>
      </c>
      <c r="J891">
        <v>49</v>
      </c>
      <c r="K891" t="s">
        <v>1595</v>
      </c>
      <c r="L891" t="s">
        <v>1597</v>
      </c>
      <c r="M891" t="str">
        <f>IF(Table1[[#This Row],[Quantity]]&gt;2,"Bulk Order","Normal Order")</f>
        <v>Normal Order</v>
      </c>
      <c r="N891" t="str">
        <f>_xlfn.CONCAT(Table1[[#This Row],[Category]],"-",Table1[[#This Row],[City]])</f>
        <v>Lifestyle-Mumbai</v>
      </c>
      <c r="O891" t="str">
        <f>LEFT(Table1[[#This Row],[Category]],3)</f>
        <v>Lif</v>
      </c>
      <c r="P891" s="2"/>
    </row>
    <row r="892" spans="1:16" x14ac:dyDescent="0.35">
      <c r="A892" t="s">
        <v>902</v>
      </c>
      <c r="B892" t="s">
        <v>1216</v>
      </c>
      <c r="C892" t="s">
        <v>1225</v>
      </c>
      <c r="D892">
        <v>3988</v>
      </c>
      <c r="E892">
        <v>3</v>
      </c>
      <c r="F892" t="s">
        <v>1468</v>
      </c>
      <c r="G892" t="s">
        <v>1585</v>
      </c>
      <c r="H892" t="s">
        <v>1590</v>
      </c>
      <c r="I892">
        <v>11964</v>
      </c>
      <c r="J892">
        <v>31</v>
      </c>
      <c r="K892" t="s">
        <v>1594</v>
      </c>
      <c r="L892" t="s">
        <v>1599</v>
      </c>
      <c r="M892" t="str">
        <f>IF(Table1[[#This Row],[Quantity]]&gt;2,"Bulk Order","Normal Order")</f>
        <v>Bulk Order</v>
      </c>
      <c r="N892" t="str">
        <f>_xlfn.CONCAT(Table1[[#This Row],[Category]],"-",Table1[[#This Row],[City]])</f>
        <v>Fitness-Kolkata</v>
      </c>
      <c r="O892" t="str">
        <f>LEFT(Table1[[#This Row],[Category]],3)</f>
        <v>Fit</v>
      </c>
      <c r="P892" s="2"/>
    </row>
    <row r="893" spans="1:16" x14ac:dyDescent="0.35">
      <c r="A893" t="s">
        <v>903</v>
      </c>
      <c r="B893" t="s">
        <v>1219</v>
      </c>
      <c r="C893" t="s">
        <v>1228</v>
      </c>
      <c r="D893">
        <v>2113</v>
      </c>
      <c r="E893">
        <v>1</v>
      </c>
      <c r="F893" t="s">
        <v>1403</v>
      </c>
      <c r="G893" t="s">
        <v>1586</v>
      </c>
      <c r="H893" t="s">
        <v>1592</v>
      </c>
      <c r="I893">
        <v>2113</v>
      </c>
      <c r="J893">
        <v>86</v>
      </c>
      <c r="K893" t="s">
        <v>1595</v>
      </c>
      <c r="L893" t="s">
        <v>1599</v>
      </c>
      <c r="M893" t="str">
        <f>IF(Table1[[#This Row],[Quantity]]&gt;2,"Bulk Order","Normal Order")</f>
        <v>Normal Order</v>
      </c>
      <c r="N893" t="str">
        <f>_xlfn.CONCAT(Table1[[#This Row],[Category]],"-",Table1[[#This Row],[City]])</f>
        <v>Electronics-Hyderabad</v>
      </c>
      <c r="O893" t="str">
        <f>LEFT(Table1[[#This Row],[Category]],3)</f>
        <v>Ele</v>
      </c>
      <c r="P893" s="2"/>
    </row>
    <row r="894" spans="1:16" x14ac:dyDescent="0.35">
      <c r="A894" t="s">
        <v>904</v>
      </c>
      <c r="B894" t="s">
        <v>1223</v>
      </c>
      <c r="C894" t="s">
        <v>1226</v>
      </c>
      <c r="D894">
        <v>4966</v>
      </c>
      <c r="E894">
        <v>4</v>
      </c>
      <c r="F894" t="s">
        <v>1247</v>
      </c>
      <c r="G894" t="s">
        <v>1586</v>
      </c>
      <c r="H894" t="s">
        <v>1591</v>
      </c>
      <c r="I894">
        <v>19864</v>
      </c>
      <c r="J894">
        <v>20</v>
      </c>
      <c r="K894" t="s">
        <v>1595</v>
      </c>
      <c r="L894" t="s">
        <v>1598</v>
      </c>
      <c r="M894" t="str">
        <f>IF(Table1[[#This Row],[Quantity]]&gt;2,"Bulk Order","Normal Order")</f>
        <v>Bulk Order</v>
      </c>
      <c r="N894" t="str">
        <f>_xlfn.CONCAT(Table1[[#This Row],[Category]],"-",Table1[[#This Row],[City]])</f>
        <v>Home-Hyderabad</v>
      </c>
      <c r="O894" t="str">
        <f>LEFT(Table1[[#This Row],[Category]],3)</f>
        <v>Hom</v>
      </c>
      <c r="P894" s="2"/>
    </row>
    <row r="895" spans="1:16" x14ac:dyDescent="0.35">
      <c r="A895" t="s">
        <v>905</v>
      </c>
      <c r="B895" t="s">
        <v>1218</v>
      </c>
      <c r="C895" t="s">
        <v>1228</v>
      </c>
      <c r="D895">
        <v>1312</v>
      </c>
      <c r="E895">
        <v>3</v>
      </c>
      <c r="F895" t="s">
        <v>1458</v>
      </c>
      <c r="G895" t="s">
        <v>1587</v>
      </c>
      <c r="H895" t="s">
        <v>1592</v>
      </c>
      <c r="I895">
        <v>3936</v>
      </c>
      <c r="J895">
        <v>69</v>
      </c>
      <c r="K895" t="s">
        <v>1594</v>
      </c>
      <c r="L895" t="s">
        <v>1597</v>
      </c>
      <c r="M895" t="str">
        <f>IF(Table1[[#This Row],[Quantity]]&gt;2,"Bulk Order","Normal Order")</f>
        <v>Bulk Order</v>
      </c>
      <c r="N895" t="str">
        <f>_xlfn.CONCAT(Table1[[#This Row],[Category]],"-",Table1[[#This Row],[City]])</f>
        <v>Electronics-Mumbai</v>
      </c>
      <c r="O895" t="str">
        <f>LEFT(Table1[[#This Row],[Category]],3)</f>
        <v>Ele</v>
      </c>
      <c r="P895" s="2"/>
    </row>
    <row r="896" spans="1:16" x14ac:dyDescent="0.35">
      <c r="A896" t="s">
        <v>906</v>
      </c>
      <c r="B896" t="s">
        <v>1214</v>
      </c>
      <c r="C896" t="s">
        <v>1226</v>
      </c>
      <c r="D896">
        <v>2820</v>
      </c>
      <c r="E896">
        <v>3</v>
      </c>
      <c r="F896" t="s">
        <v>1565</v>
      </c>
      <c r="G896" t="s">
        <v>1587</v>
      </c>
      <c r="H896" t="s">
        <v>1592</v>
      </c>
      <c r="I896">
        <v>8460</v>
      </c>
      <c r="J896">
        <v>39</v>
      </c>
      <c r="K896" t="s">
        <v>1595</v>
      </c>
      <c r="L896" t="s">
        <v>1599</v>
      </c>
      <c r="M896" t="str">
        <f>IF(Table1[[#This Row],[Quantity]]&gt;2,"Bulk Order","Normal Order")</f>
        <v>Bulk Order</v>
      </c>
      <c r="N896" t="str">
        <f>_xlfn.CONCAT(Table1[[#This Row],[Category]],"-",Table1[[#This Row],[City]])</f>
        <v>Home-Mumbai</v>
      </c>
      <c r="O896" t="str">
        <f>LEFT(Table1[[#This Row],[Category]],3)</f>
        <v>Hom</v>
      </c>
      <c r="P896" s="2"/>
    </row>
    <row r="897" spans="1:16" x14ac:dyDescent="0.35">
      <c r="A897" t="s">
        <v>907</v>
      </c>
      <c r="B897" t="s">
        <v>1215</v>
      </c>
      <c r="C897" t="s">
        <v>1228</v>
      </c>
      <c r="D897">
        <v>4538</v>
      </c>
      <c r="E897">
        <v>2</v>
      </c>
      <c r="F897" t="s">
        <v>1566</v>
      </c>
      <c r="G897" t="s">
        <v>1584</v>
      </c>
      <c r="H897" t="s">
        <v>1590</v>
      </c>
      <c r="I897">
        <v>9076</v>
      </c>
      <c r="J897">
        <v>47</v>
      </c>
      <c r="K897" t="s">
        <v>1595</v>
      </c>
      <c r="L897" t="s">
        <v>1598</v>
      </c>
      <c r="M897" t="str">
        <f>IF(Table1[[#This Row],[Quantity]]&gt;2,"Bulk Order","Normal Order")</f>
        <v>Normal Order</v>
      </c>
      <c r="N897" t="str">
        <f>_xlfn.CONCAT(Table1[[#This Row],[Category]],"-",Table1[[#This Row],[City]])</f>
        <v>Electronics-Chennai</v>
      </c>
      <c r="O897" t="str">
        <f>LEFT(Table1[[#This Row],[Category]],3)</f>
        <v>Ele</v>
      </c>
      <c r="P897" s="2"/>
    </row>
    <row r="898" spans="1:16" x14ac:dyDescent="0.35">
      <c r="A898" t="s">
        <v>908</v>
      </c>
      <c r="B898" t="s">
        <v>1212</v>
      </c>
      <c r="C898" t="s">
        <v>1227</v>
      </c>
      <c r="D898">
        <v>2247</v>
      </c>
      <c r="E898">
        <v>2</v>
      </c>
      <c r="F898" t="s">
        <v>1238</v>
      </c>
      <c r="G898" t="s">
        <v>1587</v>
      </c>
      <c r="H898" t="s">
        <v>1590</v>
      </c>
      <c r="I898">
        <v>4494</v>
      </c>
      <c r="J898">
        <v>20</v>
      </c>
      <c r="K898" t="s">
        <v>1594</v>
      </c>
      <c r="L898" t="s">
        <v>1598</v>
      </c>
      <c r="M898" t="str">
        <f>IF(Table1[[#This Row],[Quantity]]&gt;2,"Bulk Order","Normal Order")</f>
        <v>Normal Order</v>
      </c>
      <c r="N898" t="str">
        <f>_xlfn.CONCAT(Table1[[#This Row],[Category]],"-",Table1[[#This Row],[City]])</f>
        <v>Accessories-Mumbai</v>
      </c>
      <c r="O898" t="str">
        <f>LEFT(Table1[[#This Row],[Category]],3)</f>
        <v>Acc</v>
      </c>
      <c r="P898" s="2"/>
    </row>
    <row r="899" spans="1:16" x14ac:dyDescent="0.35">
      <c r="A899" t="s">
        <v>909</v>
      </c>
      <c r="B899" t="s">
        <v>1220</v>
      </c>
      <c r="C899" t="s">
        <v>1227</v>
      </c>
      <c r="D899">
        <v>2613</v>
      </c>
      <c r="E899">
        <v>2</v>
      </c>
      <c r="F899" t="s">
        <v>1563</v>
      </c>
      <c r="G899" t="s">
        <v>1584</v>
      </c>
      <c r="H899" t="s">
        <v>1592</v>
      </c>
      <c r="I899">
        <v>5226</v>
      </c>
      <c r="J899">
        <v>97</v>
      </c>
      <c r="K899" t="s">
        <v>1595</v>
      </c>
      <c r="L899" t="s">
        <v>1598</v>
      </c>
      <c r="M899" t="str">
        <f>IF(Table1[[#This Row],[Quantity]]&gt;2,"Bulk Order","Normal Order")</f>
        <v>Normal Order</v>
      </c>
      <c r="N899" t="str">
        <f>_xlfn.CONCAT(Table1[[#This Row],[Category]],"-",Table1[[#This Row],[City]])</f>
        <v>Accessories-Chennai</v>
      </c>
      <c r="O899" t="str">
        <f>LEFT(Table1[[#This Row],[Category]],3)</f>
        <v>Acc</v>
      </c>
      <c r="P899" s="2"/>
    </row>
    <row r="900" spans="1:16" x14ac:dyDescent="0.35">
      <c r="A900" t="s">
        <v>910</v>
      </c>
      <c r="B900" t="s">
        <v>1221</v>
      </c>
      <c r="C900" t="s">
        <v>1224</v>
      </c>
      <c r="D900">
        <v>2809</v>
      </c>
      <c r="E900">
        <v>1</v>
      </c>
      <c r="F900" t="s">
        <v>1309</v>
      </c>
      <c r="G900" t="s">
        <v>1585</v>
      </c>
      <c r="H900" t="s">
        <v>1590</v>
      </c>
      <c r="I900">
        <v>2809</v>
      </c>
      <c r="J900">
        <v>24</v>
      </c>
      <c r="K900" t="s">
        <v>1595</v>
      </c>
      <c r="L900" t="s">
        <v>1599</v>
      </c>
      <c r="M900" t="str">
        <f>IF(Table1[[#This Row],[Quantity]]&gt;2,"Bulk Order","Normal Order")</f>
        <v>Normal Order</v>
      </c>
      <c r="N900" t="str">
        <f>_xlfn.CONCAT(Table1[[#This Row],[Category]],"-",Table1[[#This Row],[City]])</f>
        <v>Lifestyle-Kolkata</v>
      </c>
      <c r="O900" t="str">
        <f>LEFT(Table1[[#This Row],[Category]],3)</f>
        <v>Lif</v>
      </c>
      <c r="P900" s="2"/>
    </row>
    <row r="901" spans="1:16" x14ac:dyDescent="0.35">
      <c r="A901" t="s">
        <v>911</v>
      </c>
      <c r="B901" t="s">
        <v>1218</v>
      </c>
      <c r="C901" t="s">
        <v>1224</v>
      </c>
      <c r="D901">
        <v>1015</v>
      </c>
      <c r="E901">
        <v>4</v>
      </c>
      <c r="F901" t="s">
        <v>1394</v>
      </c>
      <c r="G901" t="s">
        <v>1584</v>
      </c>
      <c r="H901" t="s">
        <v>1590</v>
      </c>
      <c r="I901">
        <v>4060</v>
      </c>
      <c r="J901">
        <v>43</v>
      </c>
      <c r="K901" t="s">
        <v>1595</v>
      </c>
      <c r="L901" t="s">
        <v>1599</v>
      </c>
      <c r="M901" t="str">
        <f>IF(Table1[[#This Row],[Quantity]]&gt;2,"Bulk Order","Normal Order")</f>
        <v>Bulk Order</v>
      </c>
      <c r="N901" t="str">
        <f>_xlfn.CONCAT(Table1[[#This Row],[Category]],"-",Table1[[#This Row],[City]])</f>
        <v>Lifestyle-Chennai</v>
      </c>
      <c r="O901" t="str">
        <f>LEFT(Table1[[#This Row],[Category]],3)</f>
        <v>Lif</v>
      </c>
      <c r="P901" s="2"/>
    </row>
    <row r="902" spans="1:16" x14ac:dyDescent="0.35">
      <c r="A902" t="s">
        <v>912</v>
      </c>
      <c r="B902" t="s">
        <v>1219</v>
      </c>
      <c r="C902" t="s">
        <v>1227</v>
      </c>
      <c r="D902">
        <v>3334</v>
      </c>
      <c r="E902">
        <v>1</v>
      </c>
      <c r="F902" t="s">
        <v>1473</v>
      </c>
      <c r="G902" t="s">
        <v>1588</v>
      </c>
      <c r="H902" t="s">
        <v>1593</v>
      </c>
      <c r="I902">
        <v>3334</v>
      </c>
      <c r="J902">
        <v>56</v>
      </c>
      <c r="K902" t="s">
        <v>1594</v>
      </c>
      <c r="L902" t="s">
        <v>1598</v>
      </c>
      <c r="M902" t="str">
        <f>IF(Table1[[#This Row],[Quantity]]&gt;2,"Bulk Order","Normal Order")</f>
        <v>Normal Order</v>
      </c>
      <c r="N902" t="str">
        <f>_xlfn.CONCAT(Table1[[#This Row],[Category]],"-",Table1[[#This Row],[City]])</f>
        <v>Accessories-Delhi</v>
      </c>
      <c r="O902" t="str">
        <f>LEFT(Table1[[#This Row],[Category]],3)</f>
        <v>Acc</v>
      </c>
      <c r="P902" s="2"/>
    </row>
    <row r="903" spans="1:16" x14ac:dyDescent="0.35">
      <c r="A903" t="s">
        <v>913</v>
      </c>
      <c r="B903" t="s">
        <v>1217</v>
      </c>
      <c r="C903" t="s">
        <v>1226</v>
      </c>
      <c r="D903">
        <v>743</v>
      </c>
      <c r="E903">
        <v>4</v>
      </c>
      <c r="F903" t="s">
        <v>1494</v>
      </c>
      <c r="G903" t="s">
        <v>1589</v>
      </c>
      <c r="H903" t="s">
        <v>1591</v>
      </c>
      <c r="I903">
        <v>2972</v>
      </c>
      <c r="J903">
        <v>85</v>
      </c>
      <c r="K903" t="s">
        <v>1594</v>
      </c>
      <c r="L903" t="s">
        <v>1599</v>
      </c>
      <c r="M903" t="str">
        <f>IF(Table1[[#This Row],[Quantity]]&gt;2,"Bulk Order","Normal Order")</f>
        <v>Bulk Order</v>
      </c>
      <c r="N903" t="str">
        <f>_xlfn.CONCAT(Table1[[#This Row],[Category]],"-",Table1[[#This Row],[City]])</f>
        <v>Home-Bangalore</v>
      </c>
      <c r="O903" t="str">
        <f>LEFT(Table1[[#This Row],[Category]],3)</f>
        <v>Hom</v>
      </c>
      <c r="P903" s="2"/>
    </row>
    <row r="904" spans="1:16" x14ac:dyDescent="0.35">
      <c r="A904" t="s">
        <v>914</v>
      </c>
      <c r="B904" t="s">
        <v>1220</v>
      </c>
      <c r="C904" t="s">
        <v>1226</v>
      </c>
      <c r="D904">
        <v>3445</v>
      </c>
      <c r="E904">
        <v>3</v>
      </c>
      <c r="F904" t="s">
        <v>1539</v>
      </c>
      <c r="G904" t="s">
        <v>1586</v>
      </c>
      <c r="H904" t="s">
        <v>1592</v>
      </c>
      <c r="I904">
        <v>10335</v>
      </c>
      <c r="J904">
        <v>58</v>
      </c>
      <c r="K904" t="s">
        <v>1596</v>
      </c>
      <c r="L904" t="s">
        <v>1598</v>
      </c>
      <c r="M904" t="str">
        <f>IF(Table1[[#This Row],[Quantity]]&gt;2,"Bulk Order","Normal Order")</f>
        <v>Bulk Order</v>
      </c>
      <c r="N904" t="str">
        <f>_xlfn.CONCAT(Table1[[#This Row],[Category]],"-",Table1[[#This Row],[City]])</f>
        <v>Home-Hyderabad</v>
      </c>
      <c r="O904" t="str">
        <f>LEFT(Table1[[#This Row],[Category]],3)</f>
        <v>Hom</v>
      </c>
      <c r="P904" s="2"/>
    </row>
    <row r="905" spans="1:16" x14ac:dyDescent="0.35">
      <c r="A905" t="s">
        <v>915</v>
      </c>
      <c r="B905" t="s">
        <v>1215</v>
      </c>
      <c r="C905" t="s">
        <v>1224</v>
      </c>
      <c r="D905">
        <v>3351</v>
      </c>
      <c r="E905">
        <v>3</v>
      </c>
      <c r="F905" t="s">
        <v>1345</v>
      </c>
      <c r="G905" t="s">
        <v>1587</v>
      </c>
      <c r="H905" t="s">
        <v>1592</v>
      </c>
      <c r="I905">
        <v>10053</v>
      </c>
      <c r="J905">
        <v>55</v>
      </c>
      <c r="K905" t="s">
        <v>1595</v>
      </c>
      <c r="L905" t="s">
        <v>1599</v>
      </c>
      <c r="M905" t="str">
        <f>IF(Table1[[#This Row],[Quantity]]&gt;2,"Bulk Order","Normal Order")</f>
        <v>Bulk Order</v>
      </c>
      <c r="N905" t="str">
        <f>_xlfn.CONCAT(Table1[[#This Row],[Category]],"-",Table1[[#This Row],[City]])</f>
        <v>Lifestyle-Mumbai</v>
      </c>
      <c r="O905" t="str">
        <f>LEFT(Table1[[#This Row],[Category]],3)</f>
        <v>Lif</v>
      </c>
      <c r="P905" s="2"/>
    </row>
    <row r="906" spans="1:16" x14ac:dyDescent="0.35">
      <c r="A906" t="s">
        <v>916</v>
      </c>
      <c r="B906" t="s">
        <v>1222</v>
      </c>
      <c r="C906" t="s">
        <v>1228</v>
      </c>
      <c r="D906">
        <v>1976</v>
      </c>
      <c r="E906">
        <v>1</v>
      </c>
      <c r="F906" t="s">
        <v>1442</v>
      </c>
      <c r="G906" t="s">
        <v>1589</v>
      </c>
      <c r="H906" t="s">
        <v>1592</v>
      </c>
      <c r="I906">
        <v>1976</v>
      </c>
      <c r="J906">
        <v>91</v>
      </c>
      <c r="K906" t="s">
        <v>1595</v>
      </c>
      <c r="L906" t="s">
        <v>1597</v>
      </c>
      <c r="M906" t="str">
        <f>IF(Table1[[#This Row],[Quantity]]&gt;2,"Bulk Order","Normal Order")</f>
        <v>Normal Order</v>
      </c>
      <c r="N906" t="str">
        <f>_xlfn.CONCAT(Table1[[#This Row],[Category]],"-",Table1[[#This Row],[City]])</f>
        <v>Electronics-Bangalore</v>
      </c>
      <c r="O906" t="str">
        <f>LEFT(Table1[[#This Row],[Category]],3)</f>
        <v>Ele</v>
      </c>
      <c r="P906" s="2"/>
    </row>
    <row r="907" spans="1:16" x14ac:dyDescent="0.35">
      <c r="A907" t="s">
        <v>917</v>
      </c>
      <c r="B907" t="s">
        <v>1222</v>
      </c>
      <c r="C907" t="s">
        <v>1227</v>
      </c>
      <c r="D907">
        <v>2388</v>
      </c>
      <c r="E907">
        <v>3</v>
      </c>
      <c r="F907" t="s">
        <v>1548</v>
      </c>
      <c r="G907" t="s">
        <v>1586</v>
      </c>
      <c r="H907" t="s">
        <v>1591</v>
      </c>
      <c r="I907">
        <v>7164</v>
      </c>
      <c r="J907">
        <v>96</v>
      </c>
      <c r="K907" t="s">
        <v>1594</v>
      </c>
      <c r="L907" t="s">
        <v>1599</v>
      </c>
      <c r="M907" t="str">
        <f>IF(Table1[[#This Row],[Quantity]]&gt;2,"Bulk Order","Normal Order")</f>
        <v>Bulk Order</v>
      </c>
      <c r="N907" t="str">
        <f>_xlfn.CONCAT(Table1[[#This Row],[Category]],"-",Table1[[#This Row],[City]])</f>
        <v>Accessories-Hyderabad</v>
      </c>
      <c r="O907" t="str">
        <f>LEFT(Table1[[#This Row],[Category]],3)</f>
        <v>Acc</v>
      </c>
      <c r="P907" s="2"/>
    </row>
    <row r="908" spans="1:16" x14ac:dyDescent="0.35">
      <c r="A908" t="s">
        <v>918</v>
      </c>
      <c r="B908" t="s">
        <v>1222</v>
      </c>
      <c r="C908" t="s">
        <v>1228</v>
      </c>
      <c r="D908">
        <v>2654</v>
      </c>
      <c r="E908">
        <v>3</v>
      </c>
      <c r="F908" t="s">
        <v>1536</v>
      </c>
      <c r="G908" t="s">
        <v>1587</v>
      </c>
      <c r="H908" t="s">
        <v>1591</v>
      </c>
      <c r="I908">
        <v>7962</v>
      </c>
      <c r="J908">
        <v>29</v>
      </c>
      <c r="K908" t="s">
        <v>1595</v>
      </c>
      <c r="L908" t="s">
        <v>1599</v>
      </c>
      <c r="M908" t="str">
        <f>IF(Table1[[#This Row],[Quantity]]&gt;2,"Bulk Order","Normal Order")</f>
        <v>Bulk Order</v>
      </c>
      <c r="N908" t="str">
        <f>_xlfn.CONCAT(Table1[[#This Row],[Category]],"-",Table1[[#This Row],[City]])</f>
        <v>Electronics-Mumbai</v>
      </c>
      <c r="O908" t="str">
        <f>LEFT(Table1[[#This Row],[Category]],3)</f>
        <v>Ele</v>
      </c>
      <c r="P908" s="2"/>
    </row>
    <row r="909" spans="1:16" x14ac:dyDescent="0.35">
      <c r="A909" t="s">
        <v>919</v>
      </c>
      <c r="B909" t="s">
        <v>1213</v>
      </c>
      <c r="C909" t="s">
        <v>1225</v>
      </c>
      <c r="D909">
        <v>2913</v>
      </c>
      <c r="E909">
        <v>4</v>
      </c>
      <c r="F909" t="s">
        <v>1348</v>
      </c>
      <c r="G909" t="s">
        <v>1586</v>
      </c>
      <c r="H909" t="s">
        <v>1591</v>
      </c>
      <c r="I909">
        <v>11652</v>
      </c>
      <c r="J909">
        <v>90</v>
      </c>
      <c r="K909" t="s">
        <v>1595</v>
      </c>
      <c r="L909" t="s">
        <v>1599</v>
      </c>
      <c r="M909" t="str">
        <f>IF(Table1[[#This Row],[Quantity]]&gt;2,"Bulk Order","Normal Order")</f>
        <v>Bulk Order</v>
      </c>
      <c r="N909" t="str">
        <f>_xlfn.CONCAT(Table1[[#This Row],[Category]],"-",Table1[[#This Row],[City]])</f>
        <v>Fitness-Hyderabad</v>
      </c>
      <c r="O909" t="str">
        <f>LEFT(Table1[[#This Row],[Category]],3)</f>
        <v>Fit</v>
      </c>
      <c r="P909" s="2"/>
    </row>
    <row r="910" spans="1:16" x14ac:dyDescent="0.35">
      <c r="A910" t="s">
        <v>920</v>
      </c>
      <c r="B910" t="s">
        <v>1221</v>
      </c>
      <c r="C910" t="s">
        <v>1224</v>
      </c>
      <c r="D910">
        <v>319</v>
      </c>
      <c r="E910">
        <v>2</v>
      </c>
      <c r="F910" t="s">
        <v>1265</v>
      </c>
      <c r="G910" t="s">
        <v>1587</v>
      </c>
      <c r="H910" t="s">
        <v>1592</v>
      </c>
      <c r="I910">
        <v>638</v>
      </c>
      <c r="J910">
        <v>68</v>
      </c>
      <c r="K910" t="s">
        <v>1595</v>
      </c>
      <c r="L910" t="s">
        <v>1599</v>
      </c>
      <c r="M910" t="str">
        <f>IF(Table1[[#This Row],[Quantity]]&gt;2,"Bulk Order","Normal Order")</f>
        <v>Normal Order</v>
      </c>
      <c r="N910" t="str">
        <f>_xlfn.CONCAT(Table1[[#This Row],[Category]],"-",Table1[[#This Row],[City]])</f>
        <v>Lifestyle-Mumbai</v>
      </c>
      <c r="O910" t="str">
        <f>LEFT(Table1[[#This Row],[Category]],3)</f>
        <v>Lif</v>
      </c>
      <c r="P910" s="2"/>
    </row>
    <row r="911" spans="1:16" x14ac:dyDescent="0.35">
      <c r="A911" t="s">
        <v>921</v>
      </c>
      <c r="B911" t="s">
        <v>1217</v>
      </c>
      <c r="C911" t="s">
        <v>1227</v>
      </c>
      <c r="D911">
        <v>2226</v>
      </c>
      <c r="E911">
        <v>2</v>
      </c>
      <c r="F911" t="s">
        <v>1504</v>
      </c>
      <c r="G911" t="s">
        <v>1588</v>
      </c>
      <c r="H911" t="s">
        <v>1591</v>
      </c>
      <c r="I911">
        <v>4452</v>
      </c>
      <c r="J911">
        <v>76</v>
      </c>
      <c r="K911" t="s">
        <v>1595</v>
      </c>
      <c r="L911" t="s">
        <v>1599</v>
      </c>
      <c r="M911" t="str">
        <f>IF(Table1[[#This Row],[Quantity]]&gt;2,"Bulk Order","Normal Order")</f>
        <v>Normal Order</v>
      </c>
      <c r="N911" t="str">
        <f>_xlfn.CONCAT(Table1[[#This Row],[Category]],"-",Table1[[#This Row],[City]])</f>
        <v>Accessories-Delhi</v>
      </c>
      <c r="O911" t="str">
        <f>LEFT(Table1[[#This Row],[Category]],3)</f>
        <v>Acc</v>
      </c>
      <c r="P911" s="2"/>
    </row>
    <row r="912" spans="1:16" x14ac:dyDescent="0.35">
      <c r="A912" t="s">
        <v>922</v>
      </c>
      <c r="B912" t="s">
        <v>1212</v>
      </c>
      <c r="C912" t="s">
        <v>1226</v>
      </c>
      <c r="D912">
        <v>952</v>
      </c>
      <c r="E912">
        <v>3</v>
      </c>
      <c r="F912" t="s">
        <v>1390</v>
      </c>
      <c r="G912" t="s">
        <v>1584</v>
      </c>
      <c r="H912" t="s">
        <v>1590</v>
      </c>
      <c r="I912">
        <v>2856</v>
      </c>
      <c r="J912">
        <v>94</v>
      </c>
      <c r="K912" t="s">
        <v>1595</v>
      </c>
      <c r="L912" t="s">
        <v>1598</v>
      </c>
      <c r="M912" t="str">
        <f>IF(Table1[[#This Row],[Quantity]]&gt;2,"Bulk Order","Normal Order")</f>
        <v>Bulk Order</v>
      </c>
      <c r="N912" t="str">
        <f>_xlfn.CONCAT(Table1[[#This Row],[Category]],"-",Table1[[#This Row],[City]])</f>
        <v>Home-Chennai</v>
      </c>
      <c r="O912" t="str">
        <f>LEFT(Table1[[#This Row],[Category]],3)</f>
        <v>Hom</v>
      </c>
      <c r="P912" s="2"/>
    </row>
    <row r="913" spans="1:16" x14ac:dyDescent="0.35">
      <c r="A913" t="s">
        <v>923</v>
      </c>
      <c r="B913" t="s">
        <v>1219</v>
      </c>
      <c r="C913" t="s">
        <v>1227</v>
      </c>
      <c r="D913">
        <v>1184</v>
      </c>
      <c r="E913">
        <v>4</v>
      </c>
      <c r="F913" t="s">
        <v>1518</v>
      </c>
      <c r="G913" t="s">
        <v>1584</v>
      </c>
      <c r="H913" t="s">
        <v>1592</v>
      </c>
      <c r="I913">
        <v>4736</v>
      </c>
      <c r="J913">
        <v>86</v>
      </c>
      <c r="K913" t="s">
        <v>1595</v>
      </c>
      <c r="L913" t="s">
        <v>1597</v>
      </c>
      <c r="M913" t="str">
        <f>IF(Table1[[#This Row],[Quantity]]&gt;2,"Bulk Order","Normal Order")</f>
        <v>Bulk Order</v>
      </c>
      <c r="N913" t="str">
        <f>_xlfn.CONCAT(Table1[[#This Row],[Category]],"-",Table1[[#This Row],[City]])</f>
        <v>Accessories-Chennai</v>
      </c>
      <c r="O913" t="str">
        <f>LEFT(Table1[[#This Row],[Category]],3)</f>
        <v>Acc</v>
      </c>
      <c r="P913" s="2"/>
    </row>
    <row r="914" spans="1:16" x14ac:dyDescent="0.35">
      <c r="A914" t="s">
        <v>924</v>
      </c>
      <c r="B914" t="s">
        <v>1212</v>
      </c>
      <c r="C914" t="s">
        <v>1224</v>
      </c>
      <c r="D914">
        <v>1404</v>
      </c>
      <c r="E914">
        <v>4</v>
      </c>
      <c r="F914" t="s">
        <v>1456</v>
      </c>
      <c r="G914" t="s">
        <v>1584</v>
      </c>
      <c r="H914" t="s">
        <v>1591</v>
      </c>
      <c r="I914">
        <v>5616</v>
      </c>
      <c r="J914">
        <v>73</v>
      </c>
      <c r="K914" t="s">
        <v>1595</v>
      </c>
      <c r="L914" t="s">
        <v>1597</v>
      </c>
      <c r="M914" t="str">
        <f>IF(Table1[[#This Row],[Quantity]]&gt;2,"Bulk Order","Normal Order")</f>
        <v>Bulk Order</v>
      </c>
      <c r="N914" t="str">
        <f>_xlfn.CONCAT(Table1[[#This Row],[Category]],"-",Table1[[#This Row],[City]])</f>
        <v>Lifestyle-Chennai</v>
      </c>
      <c r="O914" t="str">
        <f>LEFT(Table1[[#This Row],[Category]],3)</f>
        <v>Lif</v>
      </c>
      <c r="P914" s="2"/>
    </row>
    <row r="915" spans="1:16" x14ac:dyDescent="0.35">
      <c r="A915" t="s">
        <v>925</v>
      </c>
      <c r="B915" t="s">
        <v>1213</v>
      </c>
      <c r="C915" t="s">
        <v>1226</v>
      </c>
      <c r="D915">
        <v>1990</v>
      </c>
      <c r="E915">
        <v>4</v>
      </c>
      <c r="F915" t="s">
        <v>1495</v>
      </c>
      <c r="G915" t="s">
        <v>1587</v>
      </c>
      <c r="H915" t="s">
        <v>1590</v>
      </c>
      <c r="I915">
        <v>7960</v>
      </c>
      <c r="J915">
        <v>31</v>
      </c>
      <c r="K915" t="s">
        <v>1595</v>
      </c>
      <c r="L915" t="s">
        <v>1597</v>
      </c>
      <c r="M915" t="str">
        <f>IF(Table1[[#This Row],[Quantity]]&gt;2,"Bulk Order","Normal Order")</f>
        <v>Bulk Order</v>
      </c>
      <c r="N915" t="str">
        <f>_xlfn.CONCAT(Table1[[#This Row],[Category]],"-",Table1[[#This Row],[City]])</f>
        <v>Home-Mumbai</v>
      </c>
      <c r="O915" t="str">
        <f>LEFT(Table1[[#This Row],[Category]],3)</f>
        <v>Hom</v>
      </c>
      <c r="P915" s="2"/>
    </row>
    <row r="916" spans="1:16" x14ac:dyDescent="0.35">
      <c r="A916" t="s">
        <v>926</v>
      </c>
      <c r="B916" t="s">
        <v>1214</v>
      </c>
      <c r="C916" t="s">
        <v>1225</v>
      </c>
      <c r="D916">
        <v>3629</v>
      </c>
      <c r="E916">
        <v>1</v>
      </c>
      <c r="F916" t="s">
        <v>1495</v>
      </c>
      <c r="G916" t="s">
        <v>1588</v>
      </c>
      <c r="H916" t="s">
        <v>1590</v>
      </c>
      <c r="I916">
        <v>3629</v>
      </c>
      <c r="J916">
        <v>35</v>
      </c>
      <c r="K916" t="s">
        <v>1594</v>
      </c>
      <c r="L916" t="s">
        <v>1598</v>
      </c>
      <c r="M916" t="str">
        <f>IF(Table1[[#This Row],[Quantity]]&gt;2,"Bulk Order","Normal Order")</f>
        <v>Normal Order</v>
      </c>
      <c r="N916" t="str">
        <f>_xlfn.CONCAT(Table1[[#This Row],[Category]],"-",Table1[[#This Row],[City]])</f>
        <v>Fitness-Delhi</v>
      </c>
      <c r="O916" t="str">
        <f>LEFT(Table1[[#This Row],[Category]],3)</f>
        <v>Fit</v>
      </c>
      <c r="P916" s="2"/>
    </row>
    <row r="917" spans="1:16" x14ac:dyDescent="0.35">
      <c r="A917" t="s">
        <v>927</v>
      </c>
      <c r="B917" t="s">
        <v>1221</v>
      </c>
      <c r="C917" t="s">
        <v>1225</v>
      </c>
      <c r="D917">
        <v>2308</v>
      </c>
      <c r="E917">
        <v>2</v>
      </c>
      <c r="F917" t="s">
        <v>1492</v>
      </c>
      <c r="G917" t="s">
        <v>1587</v>
      </c>
      <c r="H917" t="s">
        <v>1593</v>
      </c>
      <c r="I917">
        <v>4616</v>
      </c>
      <c r="J917">
        <v>81</v>
      </c>
      <c r="K917" t="s">
        <v>1594</v>
      </c>
      <c r="L917" t="s">
        <v>1599</v>
      </c>
      <c r="M917" t="str">
        <f>IF(Table1[[#This Row],[Quantity]]&gt;2,"Bulk Order","Normal Order")</f>
        <v>Normal Order</v>
      </c>
      <c r="N917" t="str">
        <f>_xlfn.CONCAT(Table1[[#This Row],[Category]],"-",Table1[[#This Row],[City]])</f>
        <v>Fitness-Mumbai</v>
      </c>
      <c r="O917" t="str">
        <f>LEFT(Table1[[#This Row],[Category]],3)</f>
        <v>Fit</v>
      </c>
      <c r="P917" s="2"/>
    </row>
    <row r="918" spans="1:16" x14ac:dyDescent="0.35">
      <c r="A918" t="s">
        <v>928</v>
      </c>
      <c r="B918" t="s">
        <v>1221</v>
      </c>
      <c r="C918" t="s">
        <v>1226</v>
      </c>
      <c r="D918">
        <v>2814</v>
      </c>
      <c r="E918">
        <v>2</v>
      </c>
      <c r="F918" t="s">
        <v>1374</v>
      </c>
      <c r="G918" t="s">
        <v>1584</v>
      </c>
      <c r="H918" t="s">
        <v>1590</v>
      </c>
      <c r="I918">
        <v>5628</v>
      </c>
      <c r="J918">
        <v>41</v>
      </c>
      <c r="K918" t="s">
        <v>1595</v>
      </c>
      <c r="L918" t="s">
        <v>1599</v>
      </c>
      <c r="M918" t="str">
        <f>IF(Table1[[#This Row],[Quantity]]&gt;2,"Bulk Order","Normal Order")</f>
        <v>Normal Order</v>
      </c>
      <c r="N918" t="str">
        <f>_xlfn.CONCAT(Table1[[#This Row],[Category]],"-",Table1[[#This Row],[City]])</f>
        <v>Home-Chennai</v>
      </c>
      <c r="O918" t="str">
        <f>LEFT(Table1[[#This Row],[Category]],3)</f>
        <v>Hom</v>
      </c>
      <c r="P918" s="2"/>
    </row>
    <row r="919" spans="1:16" x14ac:dyDescent="0.35">
      <c r="A919" t="s">
        <v>929</v>
      </c>
      <c r="B919" t="s">
        <v>1217</v>
      </c>
      <c r="C919" t="s">
        <v>1225</v>
      </c>
      <c r="D919">
        <v>4057</v>
      </c>
      <c r="E919">
        <v>2</v>
      </c>
      <c r="F919" t="s">
        <v>1435</v>
      </c>
      <c r="G919" t="s">
        <v>1589</v>
      </c>
      <c r="H919" t="s">
        <v>1593</v>
      </c>
      <c r="I919">
        <v>8114</v>
      </c>
      <c r="J919">
        <v>38</v>
      </c>
      <c r="K919" t="s">
        <v>1595</v>
      </c>
      <c r="L919" t="s">
        <v>1598</v>
      </c>
      <c r="M919" t="str">
        <f>IF(Table1[[#This Row],[Quantity]]&gt;2,"Bulk Order","Normal Order")</f>
        <v>Normal Order</v>
      </c>
      <c r="N919" t="str">
        <f>_xlfn.CONCAT(Table1[[#This Row],[Category]],"-",Table1[[#This Row],[City]])</f>
        <v>Fitness-Bangalore</v>
      </c>
      <c r="O919" t="str">
        <f>LEFT(Table1[[#This Row],[Category]],3)</f>
        <v>Fit</v>
      </c>
      <c r="P919" s="2"/>
    </row>
    <row r="920" spans="1:16" x14ac:dyDescent="0.35">
      <c r="A920" t="s">
        <v>930</v>
      </c>
      <c r="B920" t="s">
        <v>1219</v>
      </c>
      <c r="C920" t="s">
        <v>1227</v>
      </c>
      <c r="D920">
        <v>3348</v>
      </c>
      <c r="E920">
        <v>3</v>
      </c>
      <c r="F920" t="s">
        <v>1485</v>
      </c>
      <c r="G920" t="s">
        <v>1587</v>
      </c>
      <c r="H920" t="s">
        <v>1591</v>
      </c>
      <c r="I920">
        <v>10044</v>
      </c>
      <c r="J920">
        <v>32</v>
      </c>
      <c r="K920" t="s">
        <v>1594</v>
      </c>
      <c r="L920" t="s">
        <v>1599</v>
      </c>
      <c r="M920" t="str">
        <f>IF(Table1[[#This Row],[Quantity]]&gt;2,"Bulk Order","Normal Order")</f>
        <v>Bulk Order</v>
      </c>
      <c r="N920" t="str">
        <f>_xlfn.CONCAT(Table1[[#This Row],[Category]],"-",Table1[[#This Row],[City]])</f>
        <v>Accessories-Mumbai</v>
      </c>
      <c r="O920" t="str">
        <f>LEFT(Table1[[#This Row],[Category]],3)</f>
        <v>Acc</v>
      </c>
      <c r="P920" s="2"/>
    </row>
    <row r="921" spans="1:16" x14ac:dyDescent="0.35">
      <c r="A921" t="s">
        <v>931</v>
      </c>
      <c r="B921" t="s">
        <v>1221</v>
      </c>
      <c r="C921" t="s">
        <v>1228</v>
      </c>
      <c r="D921">
        <v>456</v>
      </c>
      <c r="E921">
        <v>4</v>
      </c>
      <c r="F921" t="s">
        <v>1567</v>
      </c>
      <c r="G921" t="s">
        <v>1585</v>
      </c>
      <c r="H921" t="s">
        <v>1592</v>
      </c>
      <c r="I921">
        <v>1824</v>
      </c>
      <c r="J921">
        <v>96</v>
      </c>
      <c r="K921" t="s">
        <v>1596</v>
      </c>
      <c r="L921" t="s">
        <v>1598</v>
      </c>
      <c r="M921" t="str">
        <f>IF(Table1[[#This Row],[Quantity]]&gt;2,"Bulk Order","Normal Order")</f>
        <v>Bulk Order</v>
      </c>
      <c r="N921" t="str">
        <f>_xlfn.CONCAT(Table1[[#This Row],[Category]],"-",Table1[[#This Row],[City]])</f>
        <v>Electronics-Kolkata</v>
      </c>
      <c r="O921" t="str">
        <f>LEFT(Table1[[#This Row],[Category]],3)</f>
        <v>Ele</v>
      </c>
      <c r="P921" s="2"/>
    </row>
    <row r="922" spans="1:16" x14ac:dyDescent="0.35">
      <c r="A922" t="s">
        <v>932</v>
      </c>
      <c r="B922" t="s">
        <v>1216</v>
      </c>
      <c r="C922" t="s">
        <v>1224</v>
      </c>
      <c r="D922">
        <v>3967</v>
      </c>
      <c r="E922">
        <v>1</v>
      </c>
      <c r="F922" t="s">
        <v>1510</v>
      </c>
      <c r="G922" t="s">
        <v>1584</v>
      </c>
      <c r="H922" t="s">
        <v>1590</v>
      </c>
      <c r="I922">
        <v>3967</v>
      </c>
      <c r="J922">
        <v>99</v>
      </c>
      <c r="K922" t="s">
        <v>1595</v>
      </c>
      <c r="L922" t="s">
        <v>1597</v>
      </c>
      <c r="M922" t="str">
        <f>IF(Table1[[#This Row],[Quantity]]&gt;2,"Bulk Order","Normal Order")</f>
        <v>Normal Order</v>
      </c>
      <c r="N922" t="str">
        <f>_xlfn.CONCAT(Table1[[#This Row],[Category]],"-",Table1[[#This Row],[City]])</f>
        <v>Lifestyle-Chennai</v>
      </c>
      <c r="O922" t="str">
        <f>LEFT(Table1[[#This Row],[Category]],3)</f>
        <v>Lif</v>
      </c>
      <c r="P922" s="2"/>
    </row>
    <row r="923" spans="1:16" x14ac:dyDescent="0.35">
      <c r="A923" t="s">
        <v>933</v>
      </c>
      <c r="B923" t="s">
        <v>1214</v>
      </c>
      <c r="C923" t="s">
        <v>1226</v>
      </c>
      <c r="D923">
        <v>1846</v>
      </c>
      <c r="E923">
        <v>3</v>
      </c>
      <c r="F923" t="s">
        <v>1527</v>
      </c>
      <c r="G923" t="s">
        <v>1589</v>
      </c>
      <c r="H923" t="s">
        <v>1591</v>
      </c>
      <c r="I923">
        <v>5538</v>
      </c>
      <c r="J923">
        <v>23</v>
      </c>
      <c r="K923" t="s">
        <v>1596</v>
      </c>
      <c r="L923" t="s">
        <v>1597</v>
      </c>
      <c r="M923" t="str">
        <f>IF(Table1[[#This Row],[Quantity]]&gt;2,"Bulk Order","Normal Order")</f>
        <v>Bulk Order</v>
      </c>
      <c r="N923" t="str">
        <f>_xlfn.CONCAT(Table1[[#This Row],[Category]],"-",Table1[[#This Row],[City]])</f>
        <v>Home-Bangalore</v>
      </c>
      <c r="O923" t="str">
        <f>LEFT(Table1[[#This Row],[Category]],3)</f>
        <v>Hom</v>
      </c>
      <c r="P923" s="2"/>
    </row>
    <row r="924" spans="1:16" x14ac:dyDescent="0.35">
      <c r="A924" t="s">
        <v>934</v>
      </c>
      <c r="B924" t="s">
        <v>1215</v>
      </c>
      <c r="C924" t="s">
        <v>1225</v>
      </c>
      <c r="D924">
        <v>2602</v>
      </c>
      <c r="E924">
        <v>2</v>
      </c>
      <c r="F924" t="s">
        <v>1248</v>
      </c>
      <c r="G924" t="s">
        <v>1584</v>
      </c>
      <c r="H924" t="s">
        <v>1593</v>
      </c>
      <c r="I924">
        <v>5204</v>
      </c>
      <c r="J924">
        <v>44</v>
      </c>
      <c r="K924" t="s">
        <v>1595</v>
      </c>
      <c r="L924" t="s">
        <v>1598</v>
      </c>
      <c r="M924" t="str">
        <f>IF(Table1[[#This Row],[Quantity]]&gt;2,"Bulk Order","Normal Order")</f>
        <v>Normal Order</v>
      </c>
      <c r="N924" t="str">
        <f>_xlfn.CONCAT(Table1[[#This Row],[Category]],"-",Table1[[#This Row],[City]])</f>
        <v>Fitness-Chennai</v>
      </c>
      <c r="O924" t="str">
        <f>LEFT(Table1[[#This Row],[Category]],3)</f>
        <v>Fit</v>
      </c>
      <c r="P924" s="2"/>
    </row>
    <row r="925" spans="1:16" x14ac:dyDescent="0.35">
      <c r="A925" t="s">
        <v>935</v>
      </c>
      <c r="B925" t="s">
        <v>1219</v>
      </c>
      <c r="C925" t="s">
        <v>1226</v>
      </c>
      <c r="D925">
        <v>3681</v>
      </c>
      <c r="E925">
        <v>3</v>
      </c>
      <c r="F925" t="s">
        <v>1318</v>
      </c>
      <c r="G925" t="s">
        <v>1585</v>
      </c>
      <c r="H925" t="s">
        <v>1593</v>
      </c>
      <c r="I925">
        <v>11043</v>
      </c>
      <c r="J925">
        <v>84</v>
      </c>
      <c r="K925" t="s">
        <v>1595</v>
      </c>
      <c r="L925" t="s">
        <v>1599</v>
      </c>
      <c r="M925" t="str">
        <f>IF(Table1[[#This Row],[Quantity]]&gt;2,"Bulk Order","Normal Order")</f>
        <v>Bulk Order</v>
      </c>
      <c r="N925" t="str">
        <f>_xlfn.CONCAT(Table1[[#This Row],[Category]],"-",Table1[[#This Row],[City]])</f>
        <v>Home-Kolkata</v>
      </c>
      <c r="O925" t="str">
        <f>LEFT(Table1[[#This Row],[Category]],3)</f>
        <v>Hom</v>
      </c>
      <c r="P925" s="2"/>
    </row>
    <row r="926" spans="1:16" x14ac:dyDescent="0.35">
      <c r="A926" t="s">
        <v>936</v>
      </c>
      <c r="B926" t="s">
        <v>1214</v>
      </c>
      <c r="C926" t="s">
        <v>1224</v>
      </c>
      <c r="D926">
        <v>2059</v>
      </c>
      <c r="E926">
        <v>2</v>
      </c>
      <c r="F926" t="s">
        <v>1354</v>
      </c>
      <c r="G926" t="s">
        <v>1587</v>
      </c>
      <c r="H926" t="s">
        <v>1593</v>
      </c>
      <c r="I926">
        <v>4118</v>
      </c>
      <c r="J926">
        <v>57</v>
      </c>
      <c r="K926" t="s">
        <v>1595</v>
      </c>
      <c r="L926" t="s">
        <v>1597</v>
      </c>
      <c r="M926" t="str">
        <f>IF(Table1[[#This Row],[Quantity]]&gt;2,"Bulk Order","Normal Order")</f>
        <v>Normal Order</v>
      </c>
      <c r="N926" t="str">
        <f>_xlfn.CONCAT(Table1[[#This Row],[Category]],"-",Table1[[#This Row],[City]])</f>
        <v>Lifestyle-Mumbai</v>
      </c>
      <c r="O926" t="str">
        <f>LEFT(Table1[[#This Row],[Category]],3)</f>
        <v>Lif</v>
      </c>
      <c r="P926" s="2"/>
    </row>
    <row r="927" spans="1:16" x14ac:dyDescent="0.35">
      <c r="A927" t="s">
        <v>937</v>
      </c>
      <c r="B927" t="s">
        <v>1221</v>
      </c>
      <c r="C927" t="s">
        <v>1225</v>
      </c>
      <c r="D927">
        <v>531</v>
      </c>
      <c r="E927">
        <v>2</v>
      </c>
      <c r="F927" t="s">
        <v>1562</v>
      </c>
      <c r="G927" t="s">
        <v>1584</v>
      </c>
      <c r="H927" t="s">
        <v>1593</v>
      </c>
      <c r="I927">
        <v>1062</v>
      </c>
      <c r="J927">
        <v>85</v>
      </c>
      <c r="K927" t="s">
        <v>1594</v>
      </c>
      <c r="L927" t="s">
        <v>1598</v>
      </c>
      <c r="M927" t="str">
        <f>IF(Table1[[#This Row],[Quantity]]&gt;2,"Bulk Order","Normal Order")</f>
        <v>Normal Order</v>
      </c>
      <c r="N927" t="str">
        <f>_xlfn.CONCAT(Table1[[#This Row],[Category]],"-",Table1[[#This Row],[City]])</f>
        <v>Fitness-Chennai</v>
      </c>
      <c r="O927" t="str">
        <f>LEFT(Table1[[#This Row],[Category]],3)</f>
        <v>Fit</v>
      </c>
      <c r="P927" s="2"/>
    </row>
    <row r="928" spans="1:16" x14ac:dyDescent="0.35">
      <c r="A928" t="s">
        <v>938</v>
      </c>
      <c r="B928" t="s">
        <v>1223</v>
      </c>
      <c r="C928" t="s">
        <v>1224</v>
      </c>
      <c r="D928">
        <v>4254</v>
      </c>
      <c r="E928">
        <v>3</v>
      </c>
      <c r="F928" t="s">
        <v>1568</v>
      </c>
      <c r="G928" t="s">
        <v>1587</v>
      </c>
      <c r="H928" t="s">
        <v>1592</v>
      </c>
      <c r="I928">
        <v>12762</v>
      </c>
      <c r="J928">
        <v>73</v>
      </c>
      <c r="K928" t="s">
        <v>1595</v>
      </c>
      <c r="L928" t="s">
        <v>1599</v>
      </c>
      <c r="M928" t="str">
        <f>IF(Table1[[#This Row],[Quantity]]&gt;2,"Bulk Order","Normal Order")</f>
        <v>Bulk Order</v>
      </c>
      <c r="N928" t="str">
        <f>_xlfn.CONCAT(Table1[[#This Row],[Category]],"-",Table1[[#This Row],[City]])</f>
        <v>Lifestyle-Mumbai</v>
      </c>
      <c r="O928" t="str">
        <f>LEFT(Table1[[#This Row],[Category]],3)</f>
        <v>Lif</v>
      </c>
      <c r="P928" s="2"/>
    </row>
    <row r="929" spans="1:16" x14ac:dyDescent="0.35">
      <c r="A929" t="s">
        <v>939</v>
      </c>
      <c r="B929" t="s">
        <v>1219</v>
      </c>
      <c r="C929" t="s">
        <v>1225</v>
      </c>
      <c r="D929">
        <v>3361</v>
      </c>
      <c r="E929">
        <v>3</v>
      </c>
      <c r="F929" t="s">
        <v>1238</v>
      </c>
      <c r="G929" t="s">
        <v>1587</v>
      </c>
      <c r="H929" t="s">
        <v>1593</v>
      </c>
      <c r="I929">
        <v>10083</v>
      </c>
      <c r="J929">
        <v>80</v>
      </c>
      <c r="K929" t="s">
        <v>1595</v>
      </c>
      <c r="L929" t="s">
        <v>1598</v>
      </c>
      <c r="M929" t="str">
        <f>IF(Table1[[#This Row],[Quantity]]&gt;2,"Bulk Order","Normal Order")</f>
        <v>Bulk Order</v>
      </c>
      <c r="N929" t="str">
        <f>_xlfn.CONCAT(Table1[[#This Row],[Category]],"-",Table1[[#This Row],[City]])</f>
        <v>Fitness-Mumbai</v>
      </c>
      <c r="O929" t="str">
        <f>LEFT(Table1[[#This Row],[Category]],3)</f>
        <v>Fit</v>
      </c>
      <c r="P929" s="2"/>
    </row>
    <row r="930" spans="1:16" x14ac:dyDescent="0.35">
      <c r="A930" t="s">
        <v>940</v>
      </c>
      <c r="B930" t="s">
        <v>1218</v>
      </c>
      <c r="C930" t="s">
        <v>1225</v>
      </c>
      <c r="D930">
        <v>3591</v>
      </c>
      <c r="E930">
        <v>3</v>
      </c>
      <c r="F930" t="s">
        <v>1286</v>
      </c>
      <c r="G930" t="s">
        <v>1589</v>
      </c>
      <c r="H930" t="s">
        <v>1592</v>
      </c>
      <c r="I930">
        <v>10773</v>
      </c>
      <c r="J930">
        <v>88</v>
      </c>
      <c r="K930" t="s">
        <v>1595</v>
      </c>
      <c r="L930" t="s">
        <v>1599</v>
      </c>
      <c r="M930" t="str">
        <f>IF(Table1[[#This Row],[Quantity]]&gt;2,"Bulk Order","Normal Order")</f>
        <v>Bulk Order</v>
      </c>
      <c r="N930" t="str">
        <f>_xlfn.CONCAT(Table1[[#This Row],[Category]],"-",Table1[[#This Row],[City]])</f>
        <v>Fitness-Bangalore</v>
      </c>
      <c r="O930" t="str">
        <f>LEFT(Table1[[#This Row],[Category]],3)</f>
        <v>Fit</v>
      </c>
      <c r="P930" s="2"/>
    </row>
    <row r="931" spans="1:16" x14ac:dyDescent="0.35">
      <c r="A931" t="s">
        <v>941</v>
      </c>
      <c r="B931" t="s">
        <v>1219</v>
      </c>
      <c r="C931" t="s">
        <v>1224</v>
      </c>
      <c r="D931">
        <v>601</v>
      </c>
      <c r="E931">
        <v>4</v>
      </c>
      <c r="F931" t="s">
        <v>1311</v>
      </c>
      <c r="G931" t="s">
        <v>1588</v>
      </c>
      <c r="H931" t="s">
        <v>1591</v>
      </c>
      <c r="I931">
        <v>2404</v>
      </c>
      <c r="J931">
        <v>29</v>
      </c>
      <c r="K931" t="s">
        <v>1595</v>
      </c>
      <c r="L931" t="s">
        <v>1597</v>
      </c>
      <c r="M931" t="str">
        <f>IF(Table1[[#This Row],[Quantity]]&gt;2,"Bulk Order","Normal Order")</f>
        <v>Bulk Order</v>
      </c>
      <c r="N931" t="str">
        <f>_xlfn.CONCAT(Table1[[#This Row],[Category]],"-",Table1[[#This Row],[City]])</f>
        <v>Lifestyle-Delhi</v>
      </c>
      <c r="O931" t="str">
        <f>LEFT(Table1[[#This Row],[Category]],3)</f>
        <v>Lif</v>
      </c>
      <c r="P931" s="2"/>
    </row>
    <row r="932" spans="1:16" x14ac:dyDescent="0.35">
      <c r="A932" t="s">
        <v>942</v>
      </c>
      <c r="B932" t="s">
        <v>1220</v>
      </c>
      <c r="C932" t="s">
        <v>1226</v>
      </c>
      <c r="D932">
        <v>428</v>
      </c>
      <c r="E932">
        <v>1</v>
      </c>
      <c r="F932" t="s">
        <v>1322</v>
      </c>
      <c r="G932" t="s">
        <v>1588</v>
      </c>
      <c r="H932" t="s">
        <v>1593</v>
      </c>
      <c r="I932">
        <v>428</v>
      </c>
      <c r="J932">
        <v>62</v>
      </c>
      <c r="K932" t="s">
        <v>1595</v>
      </c>
      <c r="L932" t="s">
        <v>1598</v>
      </c>
      <c r="M932" t="str">
        <f>IF(Table1[[#This Row],[Quantity]]&gt;2,"Bulk Order","Normal Order")</f>
        <v>Normal Order</v>
      </c>
      <c r="N932" t="str">
        <f>_xlfn.CONCAT(Table1[[#This Row],[Category]],"-",Table1[[#This Row],[City]])</f>
        <v>Home-Delhi</v>
      </c>
      <c r="O932" t="str">
        <f>LEFT(Table1[[#This Row],[Category]],3)</f>
        <v>Hom</v>
      </c>
      <c r="P932" s="2"/>
    </row>
    <row r="933" spans="1:16" x14ac:dyDescent="0.35">
      <c r="A933" t="s">
        <v>943</v>
      </c>
      <c r="B933" t="s">
        <v>1217</v>
      </c>
      <c r="C933" t="s">
        <v>1225</v>
      </c>
      <c r="D933">
        <v>4800</v>
      </c>
      <c r="E933">
        <v>4</v>
      </c>
      <c r="F933" t="s">
        <v>1257</v>
      </c>
      <c r="G933" t="s">
        <v>1587</v>
      </c>
      <c r="H933" t="s">
        <v>1590</v>
      </c>
      <c r="I933">
        <v>19200</v>
      </c>
      <c r="J933">
        <v>94</v>
      </c>
      <c r="K933" t="s">
        <v>1595</v>
      </c>
      <c r="L933" t="s">
        <v>1599</v>
      </c>
      <c r="M933" t="str">
        <f>IF(Table1[[#This Row],[Quantity]]&gt;2,"Bulk Order","Normal Order")</f>
        <v>Bulk Order</v>
      </c>
      <c r="N933" t="str">
        <f>_xlfn.CONCAT(Table1[[#This Row],[Category]],"-",Table1[[#This Row],[City]])</f>
        <v>Fitness-Mumbai</v>
      </c>
      <c r="O933" t="str">
        <f>LEFT(Table1[[#This Row],[Category]],3)</f>
        <v>Fit</v>
      </c>
      <c r="P933" s="2"/>
    </row>
    <row r="934" spans="1:16" x14ac:dyDescent="0.35">
      <c r="A934" t="s">
        <v>944</v>
      </c>
      <c r="B934" t="s">
        <v>1214</v>
      </c>
      <c r="C934" t="s">
        <v>1225</v>
      </c>
      <c r="D934">
        <v>3402</v>
      </c>
      <c r="E934">
        <v>1</v>
      </c>
      <c r="F934" t="s">
        <v>1310</v>
      </c>
      <c r="G934" t="s">
        <v>1584</v>
      </c>
      <c r="H934" t="s">
        <v>1590</v>
      </c>
      <c r="I934">
        <v>3402</v>
      </c>
      <c r="J934">
        <v>35</v>
      </c>
      <c r="K934" t="s">
        <v>1596</v>
      </c>
      <c r="L934" t="s">
        <v>1599</v>
      </c>
      <c r="M934" t="str">
        <f>IF(Table1[[#This Row],[Quantity]]&gt;2,"Bulk Order","Normal Order")</f>
        <v>Normal Order</v>
      </c>
      <c r="N934" t="str">
        <f>_xlfn.CONCAT(Table1[[#This Row],[Category]],"-",Table1[[#This Row],[City]])</f>
        <v>Fitness-Chennai</v>
      </c>
      <c r="O934" t="str">
        <f>LEFT(Table1[[#This Row],[Category]],3)</f>
        <v>Fit</v>
      </c>
      <c r="P934" s="2"/>
    </row>
    <row r="935" spans="1:16" x14ac:dyDescent="0.35">
      <c r="A935" t="s">
        <v>945</v>
      </c>
      <c r="B935" t="s">
        <v>1213</v>
      </c>
      <c r="C935" t="s">
        <v>1225</v>
      </c>
      <c r="D935">
        <v>791</v>
      </c>
      <c r="E935">
        <v>4</v>
      </c>
      <c r="F935" t="s">
        <v>1569</v>
      </c>
      <c r="G935" t="s">
        <v>1584</v>
      </c>
      <c r="H935" t="s">
        <v>1593</v>
      </c>
      <c r="I935">
        <v>3164</v>
      </c>
      <c r="J935">
        <v>51</v>
      </c>
      <c r="K935" t="s">
        <v>1595</v>
      </c>
      <c r="L935" t="s">
        <v>1599</v>
      </c>
      <c r="M935" t="str">
        <f>IF(Table1[[#This Row],[Quantity]]&gt;2,"Bulk Order","Normal Order")</f>
        <v>Bulk Order</v>
      </c>
      <c r="N935" t="str">
        <f>_xlfn.CONCAT(Table1[[#This Row],[Category]],"-",Table1[[#This Row],[City]])</f>
        <v>Fitness-Chennai</v>
      </c>
      <c r="O935" t="str">
        <f>LEFT(Table1[[#This Row],[Category]],3)</f>
        <v>Fit</v>
      </c>
      <c r="P935" s="2"/>
    </row>
    <row r="936" spans="1:16" x14ac:dyDescent="0.35">
      <c r="A936" t="s">
        <v>946</v>
      </c>
      <c r="B936" t="s">
        <v>1213</v>
      </c>
      <c r="C936" t="s">
        <v>1225</v>
      </c>
      <c r="D936">
        <v>4472</v>
      </c>
      <c r="E936">
        <v>3</v>
      </c>
      <c r="F936" t="s">
        <v>1570</v>
      </c>
      <c r="G936" t="s">
        <v>1588</v>
      </c>
      <c r="H936" t="s">
        <v>1591</v>
      </c>
      <c r="I936">
        <v>13416</v>
      </c>
      <c r="J936">
        <v>64</v>
      </c>
      <c r="K936" t="s">
        <v>1595</v>
      </c>
      <c r="L936" t="s">
        <v>1599</v>
      </c>
      <c r="M936" t="str">
        <f>IF(Table1[[#This Row],[Quantity]]&gt;2,"Bulk Order","Normal Order")</f>
        <v>Bulk Order</v>
      </c>
      <c r="N936" t="str">
        <f>_xlfn.CONCAT(Table1[[#This Row],[Category]],"-",Table1[[#This Row],[City]])</f>
        <v>Fitness-Delhi</v>
      </c>
      <c r="O936" t="str">
        <f>LEFT(Table1[[#This Row],[Category]],3)</f>
        <v>Fit</v>
      </c>
      <c r="P936" s="2"/>
    </row>
    <row r="937" spans="1:16" x14ac:dyDescent="0.35">
      <c r="A937" t="s">
        <v>947</v>
      </c>
      <c r="B937" t="s">
        <v>1213</v>
      </c>
      <c r="C937" t="s">
        <v>1227</v>
      </c>
      <c r="D937">
        <v>3302</v>
      </c>
      <c r="E937">
        <v>1</v>
      </c>
      <c r="F937" t="s">
        <v>1332</v>
      </c>
      <c r="G937" t="s">
        <v>1589</v>
      </c>
      <c r="H937" t="s">
        <v>1593</v>
      </c>
      <c r="I937">
        <v>3302</v>
      </c>
      <c r="J937">
        <v>35</v>
      </c>
      <c r="K937" t="s">
        <v>1595</v>
      </c>
      <c r="L937" t="s">
        <v>1598</v>
      </c>
      <c r="M937" t="str">
        <f>IF(Table1[[#This Row],[Quantity]]&gt;2,"Bulk Order","Normal Order")</f>
        <v>Normal Order</v>
      </c>
      <c r="N937" t="str">
        <f>_xlfn.CONCAT(Table1[[#This Row],[Category]],"-",Table1[[#This Row],[City]])</f>
        <v>Accessories-Bangalore</v>
      </c>
      <c r="O937" t="str">
        <f>LEFT(Table1[[#This Row],[Category]],3)</f>
        <v>Acc</v>
      </c>
      <c r="P937" s="2"/>
    </row>
    <row r="938" spans="1:16" x14ac:dyDescent="0.35">
      <c r="A938" t="s">
        <v>948</v>
      </c>
      <c r="B938" t="s">
        <v>1212</v>
      </c>
      <c r="C938" t="s">
        <v>1226</v>
      </c>
      <c r="D938">
        <v>3503</v>
      </c>
      <c r="E938">
        <v>3</v>
      </c>
      <c r="F938" t="s">
        <v>1428</v>
      </c>
      <c r="G938" t="s">
        <v>1587</v>
      </c>
      <c r="H938" t="s">
        <v>1591</v>
      </c>
      <c r="I938">
        <v>10509</v>
      </c>
      <c r="J938">
        <v>58</v>
      </c>
      <c r="K938" t="s">
        <v>1595</v>
      </c>
      <c r="L938" t="s">
        <v>1598</v>
      </c>
      <c r="M938" t="str">
        <f>IF(Table1[[#This Row],[Quantity]]&gt;2,"Bulk Order","Normal Order")</f>
        <v>Bulk Order</v>
      </c>
      <c r="N938" t="str">
        <f>_xlfn.CONCAT(Table1[[#This Row],[Category]],"-",Table1[[#This Row],[City]])</f>
        <v>Home-Mumbai</v>
      </c>
      <c r="O938" t="str">
        <f>LEFT(Table1[[#This Row],[Category]],3)</f>
        <v>Hom</v>
      </c>
      <c r="P938" s="2"/>
    </row>
    <row r="939" spans="1:16" x14ac:dyDescent="0.35">
      <c r="A939" t="s">
        <v>949</v>
      </c>
      <c r="B939" t="s">
        <v>1223</v>
      </c>
      <c r="C939" t="s">
        <v>1227</v>
      </c>
      <c r="D939">
        <v>3751</v>
      </c>
      <c r="E939">
        <v>3</v>
      </c>
      <c r="F939" t="s">
        <v>1571</v>
      </c>
      <c r="G939" t="s">
        <v>1589</v>
      </c>
      <c r="H939" t="s">
        <v>1593</v>
      </c>
      <c r="I939">
        <v>11253</v>
      </c>
      <c r="J939">
        <v>49</v>
      </c>
      <c r="K939" t="s">
        <v>1595</v>
      </c>
      <c r="L939" t="s">
        <v>1598</v>
      </c>
      <c r="M939" t="str">
        <f>IF(Table1[[#This Row],[Quantity]]&gt;2,"Bulk Order","Normal Order")</f>
        <v>Bulk Order</v>
      </c>
      <c r="N939" t="str">
        <f>_xlfn.CONCAT(Table1[[#This Row],[Category]],"-",Table1[[#This Row],[City]])</f>
        <v>Accessories-Bangalore</v>
      </c>
      <c r="O939" t="str">
        <f>LEFT(Table1[[#This Row],[Category]],3)</f>
        <v>Acc</v>
      </c>
      <c r="P939" s="2"/>
    </row>
    <row r="940" spans="1:16" x14ac:dyDescent="0.35">
      <c r="A940" t="s">
        <v>950</v>
      </c>
      <c r="B940" t="s">
        <v>1216</v>
      </c>
      <c r="C940" t="s">
        <v>1224</v>
      </c>
      <c r="D940">
        <v>4779</v>
      </c>
      <c r="E940">
        <v>2</v>
      </c>
      <c r="F940" t="s">
        <v>1311</v>
      </c>
      <c r="G940" t="s">
        <v>1588</v>
      </c>
      <c r="H940" t="s">
        <v>1593</v>
      </c>
      <c r="I940">
        <v>9558</v>
      </c>
      <c r="J940">
        <v>32</v>
      </c>
      <c r="K940" t="s">
        <v>1594</v>
      </c>
      <c r="L940" t="s">
        <v>1599</v>
      </c>
      <c r="M940" t="str">
        <f>IF(Table1[[#This Row],[Quantity]]&gt;2,"Bulk Order","Normal Order")</f>
        <v>Normal Order</v>
      </c>
      <c r="N940" t="str">
        <f>_xlfn.CONCAT(Table1[[#This Row],[Category]],"-",Table1[[#This Row],[City]])</f>
        <v>Lifestyle-Delhi</v>
      </c>
      <c r="O940" t="str">
        <f>LEFT(Table1[[#This Row],[Category]],3)</f>
        <v>Lif</v>
      </c>
      <c r="P940" s="2"/>
    </row>
    <row r="941" spans="1:16" x14ac:dyDescent="0.35">
      <c r="A941" t="s">
        <v>951</v>
      </c>
      <c r="B941" t="s">
        <v>1213</v>
      </c>
      <c r="C941" t="s">
        <v>1226</v>
      </c>
      <c r="D941">
        <v>4761</v>
      </c>
      <c r="E941">
        <v>4</v>
      </c>
      <c r="F941" t="s">
        <v>1444</v>
      </c>
      <c r="G941" t="s">
        <v>1584</v>
      </c>
      <c r="H941" t="s">
        <v>1592</v>
      </c>
      <c r="I941">
        <v>19044</v>
      </c>
      <c r="J941">
        <v>50</v>
      </c>
      <c r="K941" t="s">
        <v>1595</v>
      </c>
      <c r="L941" t="s">
        <v>1599</v>
      </c>
      <c r="M941" t="str">
        <f>IF(Table1[[#This Row],[Quantity]]&gt;2,"Bulk Order","Normal Order")</f>
        <v>Bulk Order</v>
      </c>
      <c r="N941" t="str">
        <f>_xlfn.CONCAT(Table1[[#This Row],[Category]],"-",Table1[[#This Row],[City]])</f>
        <v>Home-Chennai</v>
      </c>
      <c r="O941" t="str">
        <f>LEFT(Table1[[#This Row],[Category]],3)</f>
        <v>Hom</v>
      </c>
      <c r="P941" s="2"/>
    </row>
    <row r="942" spans="1:16" x14ac:dyDescent="0.35">
      <c r="A942" t="s">
        <v>952</v>
      </c>
      <c r="B942" t="s">
        <v>1212</v>
      </c>
      <c r="C942" t="s">
        <v>1227</v>
      </c>
      <c r="D942">
        <v>1114</v>
      </c>
      <c r="E942">
        <v>1</v>
      </c>
      <c r="F942" t="s">
        <v>1291</v>
      </c>
      <c r="G942" t="s">
        <v>1588</v>
      </c>
      <c r="H942" t="s">
        <v>1593</v>
      </c>
      <c r="I942">
        <v>1114</v>
      </c>
      <c r="J942">
        <v>33</v>
      </c>
      <c r="K942" t="s">
        <v>1595</v>
      </c>
      <c r="L942" t="s">
        <v>1599</v>
      </c>
      <c r="M942" t="str">
        <f>IF(Table1[[#This Row],[Quantity]]&gt;2,"Bulk Order","Normal Order")</f>
        <v>Normal Order</v>
      </c>
      <c r="N942" t="str">
        <f>_xlfn.CONCAT(Table1[[#This Row],[Category]],"-",Table1[[#This Row],[City]])</f>
        <v>Accessories-Delhi</v>
      </c>
      <c r="O942" t="str">
        <f>LEFT(Table1[[#This Row],[Category]],3)</f>
        <v>Acc</v>
      </c>
      <c r="P942" s="2"/>
    </row>
    <row r="943" spans="1:16" x14ac:dyDescent="0.35">
      <c r="A943" t="s">
        <v>953</v>
      </c>
      <c r="B943" t="s">
        <v>1213</v>
      </c>
      <c r="C943" t="s">
        <v>1224</v>
      </c>
      <c r="D943">
        <v>998</v>
      </c>
      <c r="E943">
        <v>1</v>
      </c>
      <c r="F943" t="s">
        <v>1379</v>
      </c>
      <c r="G943" t="s">
        <v>1589</v>
      </c>
      <c r="H943" t="s">
        <v>1592</v>
      </c>
      <c r="I943">
        <v>998</v>
      </c>
      <c r="J943">
        <v>78</v>
      </c>
      <c r="K943" t="s">
        <v>1596</v>
      </c>
      <c r="L943" t="s">
        <v>1599</v>
      </c>
      <c r="M943" t="str">
        <f>IF(Table1[[#This Row],[Quantity]]&gt;2,"Bulk Order","Normal Order")</f>
        <v>Normal Order</v>
      </c>
      <c r="N943" t="str">
        <f>_xlfn.CONCAT(Table1[[#This Row],[Category]],"-",Table1[[#This Row],[City]])</f>
        <v>Lifestyle-Bangalore</v>
      </c>
      <c r="O943" t="str">
        <f>LEFT(Table1[[#This Row],[Category]],3)</f>
        <v>Lif</v>
      </c>
      <c r="P943" s="2"/>
    </row>
    <row r="944" spans="1:16" x14ac:dyDescent="0.35">
      <c r="A944" t="s">
        <v>954</v>
      </c>
      <c r="B944" t="s">
        <v>1219</v>
      </c>
      <c r="C944" t="s">
        <v>1228</v>
      </c>
      <c r="D944">
        <v>2438</v>
      </c>
      <c r="E944">
        <v>1</v>
      </c>
      <c r="F944" t="s">
        <v>1246</v>
      </c>
      <c r="G944" t="s">
        <v>1586</v>
      </c>
      <c r="H944" t="s">
        <v>1590</v>
      </c>
      <c r="I944">
        <v>2438</v>
      </c>
      <c r="J944">
        <v>54</v>
      </c>
      <c r="K944" t="s">
        <v>1595</v>
      </c>
      <c r="L944" t="s">
        <v>1597</v>
      </c>
      <c r="M944" t="str">
        <f>IF(Table1[[#This Row],[Quantity]]&gt;2,"Bulk Order","Normal Order")</f>
        <v>Normal Order</v>
      </c>
      <c r="N944" t="str">
        <f>_xlfn.CONCAT(Table1[[#This Row],[Category]],"-",Table1[[#This Row],[City]])</f>
        <v>Electronics-Hyderabad</v>
      </c>
      <c r="O944" t="str">
        <f>LEFT(Table1[[#This Row],[Category]],3)</f>
        <v>Ele</v>
      </c>
      <c r="P944" s="2"/>
    </row>
    <row r="945" spans="1:16" x14ac:dyDescent="0.35">
      <c r="A945" t="s">
        <v>955</v>
      </c>
      <c r="B945" t="s">
        <v>1214</v>
      </c>
      <c r="C945" t="s">
        <v>1227</v>
      </c>
      <c r="D945">
        <v>2399</v>
      </c>
      <c r="E945">
        <v>4</v>
      </c>
      <c r="F945" t="s">
        <v>1299</v>
      </c>
      <c r="G945" t="s">
        <v>1588</v>
      </c>
      <c r="H945" t="s">
        <v>1592</v>
      </c>
      <c r="I945">
        <v>9596</v>
      </c>
      <c r="J945">
        <v>85</v>
      </c>
      <c r="K945" t="s">
        <v>1595</v>
      </c>
      <c r="L945" t="s">
        <v>1598</v>
      </c>
      <c r="M945" t="str">
        <f>IF(Table1[[#This Row],[Quantity]]&gt;2,"Bulk Order","Normal Order")</f>
        <v>Bulk Order</v>
      </c>
      <c r="N945" t="str">
        <f>_xlfn.CONCAT(Table1[[#This Row],[Category]],"-",Table1[[#This Row],[City]])</f>
        <v>Accessories-Delhi</v>
      </c>
      <c r="O945" t="str">
        <f>LEFT(Table1[[#This Row],[Category]],3)</f>
        <v>Acc</v>
      </c>
      <c r="P945" s="2"/>
    </row>
    <row r="946" spans="1:16" x14ac:dyDescent="0.35">
      <c r="A946" t="s">
        <v>956</v>
      </c>
      <c r="B946" t="s">
        <v>1214</v>
      </c>
      <c r="C946" t="s">
        <v>1225</v>
      </c>
      <c r="D946">
        <v>3649</v>
      </c>
      <c r="E946">
        <v>3</v>
      </c>
      <c r="F946" t="s">
        <v>1409</v>
      </c>
      <c r="G946" t="s">
        <v>1586</v>
      </c>
      <c r="H946" t="s">
        <v>1592</v>
      </c>
      <c r="I946">
        <v>10947</v>
      </c>
      <c r="J946">
        <v>20</v>
      </c>
      <c r="K946" t="s">
        <v>1595</v>
      </c>
      <c r="L946" t="s">
        <v>1599</v>
      </c>
      <c r="M946" t="str">
        <f>IF(Table1[[#This Row],[Quantity]]&gt;2,"Bulk Order","Normal Order")</f>
        <v>Bulk Order</v>
      </c>
      <c r="N946" t="str">
        <f>_xlfn.CONCAT(Table1[[#This Row],[Category]],"-",Table1[[#This Row],[City]])</f>
        <v>Fitness-Hyderabad</v>
      </c>
      <c r="O946" t="str">
        <f>LEFT(Table1[[#This Row],[Category]],3)</f>
        <v>Fit</v>
      </c>
      <c r="P946" s="2"/>
    </row>
    <row r="947" spans="1:16" x14ac:dyDescent="0.35">
      <c r="A947" t="s">
        <v>957</v>
      </c>
      <c r="B947" t="s">
        <v>1221</v>
      </c>
      <c r="C947" t="s">
        <v>1228</v>
      </c>
      <c r="D947">
        <v>3946</v>
      </c>
      <c r="E947">
        <v>4</v>
      </c>
      <c r="F947" t="s">
        <v>1330</v>
      </c>
      <c r="G947" t="s">
        <v>1584</v>
      </c>
      <c r="H947" t="s">
        <v>1590</v>
      </c>
      <c r="I947">
        <v>15784</v>
      </c>
      <c r="J947">
        <v>33</v>
      </c>
      <c r="K947" t="s">
        <v>1595</v>
      </c>
      <c r="L947" t="s">
        <v>1599</v>
      </c>
      <c r="M947" t="str">
        <f>IF(Table1[[#This Row],[Quantity]]&gt;2,"Bulk Order","Normal Order")</f>
        <v>Bulk Order</v>
      </c>
      <c r="N947" t="str">
        <f>_xlfn.CONCAT(Table1[[#This Row],[Category]],"-",Table1[[#This Row],[City]])</f>
        <v>Electronics-Chennai</v>
      </c>
      <c r="O947" t="str">
        <f>LEFT(Table1[[#This Row],[Category]],3)</f>
        <v>Ele</v>
      </c>
      <c r="P947" s="2"/>
    </row>
    <row r="948" spans="1:16" x14ac:dyDescent="0.35">
      <c r="A948" t="s">
        <v>958</v>
      </c>
      <c r="B948" t="s">
        <v>1218</v>
      </c>
      <c r="C948" t="s">
        <v>1227</v>
      </c>
      <c r="D948">
        <v>394</v>
      </c>
      <c r="E948">
        <v>2</v>
      </c>
      <c r="F948" t="s">
        <v>1318</v>
      </c>
      <c r="G948" t="s">
        <v>1588</v>
      </c>
      <c r="H948" t="s">
        <v>1591</v>
      </c>
      <c r="I948">
        <v>788</v>
      </c>
      <c r="J948">
        <v>35</v>
      </c>
      <c r="K948" t="s">
        <v>1595</v>
      </c>
      <c r="L948" t="s">
        <v>1599</v>
      </c>
      <c r="M948" t="str">
        <f>IF(Table1[[#This Row],[Quantity]]&gt;2,"Bulk Order","Normal Order")</f>
        <v>Normal Order</v>
      </c>
      <c r="N948" t="str">
        <f>_xlfn.CONCAT(Table1[[#This Row],[Category]],"-",Table1[[#This Row],[City]])</f>
        <v>Accessories-Delhi</v>
      </c>
      <c r="O948" t="str">
        <f>LEFT(Table1[[#This Row],[Category]],3)</f>
        <v>Acc</v>
      </c>
      <c r="P948" s="2"/>
    </row>
    <row r="949" spans="1:16" x14ac:dyDescent="0.35">
      <c r="A949" t="s">
        <v>959</v>
      </c>
      <c r="B949" t="s">
        <v>1220</v>
      </c>
      <c r="C949" t="s">
        <v>1227</v>
      </c>
      <c r="D949">
        <v>1951</v>
      </c>
      <c r="E949">
        <v>1</v>
      </c>
      <c r="F949" t="s">
        <v>1264</v>
      </c>
      <c r="G949" t="s">
        <v>1589</v>
      </c>
      <c r="H949" t="s">
        <v>1590</v>
      </c>
      <c r="I949">
        <v>1951</v>
      </c>
      <c r="J949">
        <v>52</v>
      </c>
      <c r="K949" t="s">
        <v>1596</v>
      </c>
      <c r="L949" t="s">
        <v>1599</v>
      </c>
      <c r="M949" t="str">
        <f>IF(Table1[[#This Row],[Quantity]]&gt;2,"Bulk Order","Normal Order")</f>
        <v>Normal Order</v>
      </c>
      <c r="N949" t="str">
        <f>_xlfn.CONCAT(Table1[[#This Row],[Category]],"-",Table1[[#This Row],[City]])</f>
        <v>Accessories-Bangalore</v>
      </c>
      <c r="O949" t="str">
        <f>LEFT(Table1[[#This Row],[Category]],3)</f>
        <v>Acc</v>
      </c>
      <c r="P949" s="2"/>
    </row>
    <row r="950" spans="1:16" x14ac:dyDescent="0.35">
      <c r="A950" t="s">
        <v>960</v>
      </c>
      <c r="B950" t="s">
        <v>1214</v>
      </c>
      <c r="C950" t="s">
        <v>1224</v>
      </c>
      <c r="D950">
        <v>4254</v>
      </c>
      <c r="E950">
        <v>1</v>
      </c>
      <c r="F950" t="s">
        <v>1512</v>
      </c>
      <c r="G950" t="s">
        <v>1586</v>
      </c>
      <c r="H950" t="s">
        <v>1593</v>
      </c>
      <c r="I950">
        <v>4254</v>
      </c>
      <c r="J950">
        <v>42</v>
      </c>
      <c r="K950" t="s">
        <v>1595</v>
      </c>
      <c r="L950" t="s">
        <v>1598</v>
      </c>
      <c r="M950" t="str">
        <f>IF(Table1[[#This Row],[Quantity]]&gt;2,"Bulk Order","Normal Order")</f>
        <v>Normal Order</v>
      </c>
      <c r="N950" t="str">
        <f>_xlfn.CONCAT(Table1[[#This Row],[Category]],"-",Table1[[#This Row],[City]])</f>
        <v>Lifestyle-Hyderabad</v>
      </c>
      <c r="O950" t="str">
        <f>LEFT(Table1[[#This Row],[Category]],3)</f>
        <v>Lif</v>
      </c>
      <c r="P950" s="2"/>
    </row>
    <row r="951" spans="1:16" x14ac:dyDescent="0.35">
      <c r="A951" t="s">
        <v>961</v>
      </c>
      <c r="B951" t="s">
        <v>1220</v>
      </c>
      <c r="C951" t="s">
        <v>1227</v>
      </c>
      <c r="D951">
        <v>2412</v>
      </c>
      <c r="E951">
        <v>2</v>
      </c>
      <c r="F951" t="s">
        <v>1429</v>
      </c>
      <c r="G951" t="s">
        <v>1587</v>
      </c>
      <c r="H951" t="s">
        <v>1591</v>
      </c>
      <c r="I951">
        <v>4824</v>
      </c>
      <c r="J951">
        <v>29</v>
      </c>
      <c r="K951" t="s">
        <v>1595</v>
      </c>
      <c r="L951" t="s">
        <v>1599</v>
      </c>
      <c r="M951" t="str">
        <f>IF(Table1[[#This Row],[Quantity]]&gt;2,"Bulk Order","Normal Order")</f>
        <v>Normal Order</v>
      </c>
      <c r="N951" t="str">
        <f>_xlfn.CONCAT(Table1[[#This Row],[Category]],"-",Table1[[#This Row],[City]])</f>
        <v>Accessories-Mumbai</v>
      </c>
      <c r="O951" t="str">
        <f>LEFT(Table1[[#This Row],[Category]],3)</f>
        <v>Acc</v>
      </c>
      <c r="P951" s="2"/>
    </row>
    <row r="952" spans="1:16" x14ac:dyDescent="0.35">
      <c r="A952" t="s">
        <v>962</v>
      </c>
      <c r="B952" t="s">
        <v>1213</v>
      </c>
      <c r="C952" t="s">
        <v>1226</v>
      </c>
      <c r="D952">
        <v>1052</v>
      </c>
      <c r="E952">
        <v>3</v>
      </c>
      <c r="F952" t="s">
        <v>1295</v>
      </c>
      <c r="G952" t="s">
        <v>1586</v>
      </c>
      <c r="H952" t="s">
        <v>1590</v>
      </c>
      <c r="I952">
        <v>3156</v>
      </c>
      <c r="J952">
        <v>38</v>
      </c>
      <c r="K952" t="s">
        <v>1594</v>
      </c>
      <c r="L952" t="s">
        <v>1599</v>
      </c>
      <c r="M952" t="str">
        <f>IF(Table1[[#This Row],[Quantity]]&gt;2,"Bulk Order","Normal Order")</f>
        <v>Bulk Order</v>
      </c>
      <c r="N952" t="str">
        <f>_xlfn.CONCAT(Table1[[#This Row],[Category]],"-",Table1[[#This Row],[City]])</f>
        <v>Home-Hyderabad</v>
      </c>
      <c r="O952" t="str">
        <f>LEFT(Table1[[#This Row],[Category]],3)</f>
        <v>Hom</v>
      </c>
      <c r="P952" s="2"/>
    </row>
    <row r="953" spans="1:16" x14ac:dyDescent="0.35">
      <c r="A953" t="s">
        <v>963</v>
      </c>
      <c r="B953" t="s">
        <v>1214</v>
      </c>
      <c r="C953" t="s">
        <v>1224</v>
      </c>
      <c r="D953">
        <v>4938</v>
      </c>
      <c r="E953">
        <v>2</v>
      </c>
      <c r="F953" t="s">
        <v>1267</v>
      </c>
      <c r="G953" t="s">
        <v>1589</v>
      </c>
      <c r="H953" t="s">
        <v>1592</v>
      </c>
      <c r="I953">
        <v>9876</v>
      </c>
      <c r="J953">
        <v>22</v>
      </c>
      <c r="K953" t="s">
        <v>1595</v>
      </c>
      <c r="L953" t="s">
        <v>1599</v>
      </c>
      <c r="M953" t="str">
        <f>IF(Table1[[#This Row],[Quantity]]&gt;2,"Bulk Order","Normal Order")</f>
        <v>Normal Order</v>
      </c>
      <c r="N953" t="str">
        <f>_xlfn.CONCAT(Table1[[#This Row],[Category]],"-",Table1[[#This Row],[City]])</f>
        <v>Lifestyle-Bangalore</v>
      </c>
      <c r="O953" t="str">
        <f>LEFT(Table1[[#This Row],[Category]],3)</f>
        <v>Lif</v>
      </c>
      <c r="P953" s="2"/>
    </row>
    <row r="954" spans="1:16" x14ac:dyDescent="0.35">
      <c r="A954" t="s">
        <v>964</v>
      </c>
      <c r="B954" t="s">
        <v>1212</v>
      </c>
      <c r="C954" t="s">
        <v>1225</v>
      </c>
      <c r="D954">
        <v>3378</v>
      </c>
      <c r="E954">
        <v>1</v>
      </c>
      <c r="F954" t="s">
        <v>1407</v>
      </c>
      <c r="G954" t="s">
        <v>1584</v>
      </c>
      <c r="H954" t="s">
        <v>1593</v>
      </c>
      <c r="I954">
        <v>3378</v>
      </c>
      <c r="J954">
        <v>38</v>
      </c>
      <c r="K954" t="s">
        <v>1595</v>
      </c>
      <c r="L954" t="s">
        <v>1599</v>
      </c>
      <c r="M954" t="str">
        <f>IF(Table1[[#This Row],[Quantity]]&gt;2,"Bulk Order","Normal Order")</f>
        <v>Normal Order</v>
      </c>
      <c r="N954" t="str">
        <f>_xlfn.CONCAT(Table1[[#This Row],[Category]],"-",Table1[[#This Row],[City]])</f>
        <v>Fitness-Chennai</v>
      </c>
      <c r="O954" t="str">
        <f>LEFT(Table1[[#This Row],[Category]],3)</f>
        <v>Fit</v>
      </c>
      <c r="P954" s="2"/>
    </row>
    <row r="955" spans="1:16" x14ac:dyDescent="0.35">
      <c r="A955" t="s">
        <v>965</v>
      </c>
      <c r="B955" t="s">
        <v>1218</v>
      </c>
      <c r="C955" t="s">
        <v>1227</v>
      </c>
      <c r="D955">
        <v>4130</v>
      </c>
      <c r="E955">
        <v>4</v>
      </c>
      <c r="F955" t="s">
        <v>1572</v>
      </c>
      <c r="G955" t="s">
        <v>1585</v>
      </c>
      <c r="H955" t="s">
        <v>1590</v>
      </c>
      <c r="I955">
        <v>16520</v>
      </c>
      <c r="J955">
        <v>92</v>
      </c>
      <c r="K955" t="s">
        <v>1595</v>
      </c>
      <c r="L955" t="s">
        <v>1597</v>
      </c>
      <c r="M955" t="str">
        <f>IF(Table1[[#This Row],[Quantity]]&gt;2,"Bulk Order","Normal Order")</f>
        <v>Bulk Order</v>
      </c>
      <c r="N955" t="str">
        <f>_xlfn.CONCAT(Table1[[#This Row],[Category]],"-",Table1[[#This Row],[City]])</f>
        <v>Accessories-Kolkata</v>
      </c>
      <c r="O955" t="str">
        <f>LEFT(Table1[[#This Row],[Category]],3)</f>
        <v>Acc</v>
      </c>
      <c r="P955" s="2"/>
    </row>
    <row r="956" spans="1:16" x14ac:dyDescent="0.35">
      <c r="A956" t="s">
        <v>966</v>
      </c>
      <c r="B956" t="s">
        <v>1212</v>
      </c>
      <c r="C956" t="s">
        <v>1227</v>
      </c>
      <c r="D956">
        <v>812</v>
      </c>
      <c r="E956">
        <v>2</v>
      </c>
      <c r="F956" t="s">
        <v>1360</v>
      </c>
      <c r="G956" t="s">
        <v>1586</v>
      </c>
      <c r="H956" t="s">
        <v>1590</v>
      </c>
      <c r="I956">
        <v>1624</v>
      </c>
      <c r="J956">
        <v>21</v>
      </c>
      <c r="K956" t="s">
        <v>1595</v>
      </c>
      <c r="L956" t="s">
        <v>1598</v>
      </c>
      <c r="M956" t="str">
        <f>IF(Table1[[#This Row],[Quantity]]&gt;2,"Bulk Order","Normal Order")</f>
        <v>Normal Order</v>
      </c>
      <c r="N956" t="str">
        <f>_xlfn.CONCAT(Table1[[#This Row],[Category]],"-",Table1[[#This Row],[City]])</f>
        <v>Accessories-Hyderabad</v>
      </c>
      <c r="O956" t="str">
        <f>LEFT(Table1[[#This Row],[Category]],3)</f>
        <v>Acc</v>
      </c>
      <c r="P956" s="2"/>
    </row>
    <row r="957" spans="1:16" x14ac:dyDescent="0.35">
      <c r="A957" t="s">
        <v>967</v>
      </c>
      <c r="B957" t="s">
        <v>1222</v>
      </c>
      <c r="C957" t="s">
        <v>1226</v>
      </c>
      <c r="D957">
        <v>4868</v>
      </c>
      <c r="E957">
        <v>4</v>
      </c>
      <c r="F957" t="s">
        <v>1572</v>
      </c>
      <c r="G957" t="s">
        <v>1584</v>
      </c>
      <c r="H957" t="s">
        <v>1590</v>
      </c>
      <c r="I957">
        <v>19472</v>
      </c>
      <c r="J957">
        <v>76</v>
      </c>
      <c r="K957" t="s">
        <v>1595</v>
      </c>
      <c r="L957" t="s">
        <v>1599</v>
      </c>
      <c r="M957" t="str">
        <f>IF(Table1[[#This Row],[Quantity]]&gt;2,"Bulk Order","Normal Order")</f>
        <v>Bulk Order</v>
      </c>
      <c r="N957" t="str">
        <f>_xlfn.CONCAT(Table1[[#This Row],[Category]],"-",Table1[[#This Row],[City]])</f>
        <v>Home-Chennai</v>
      </c>
      <c r="O957" t="str">
        <f>LEFT(Table1[[#This Row],[Category]],3)</f>
        <v>Hom</v>
      </c>
      <c r="P957" s="2"/>
    </row>
    <row r="958" spans="1:16" x14ac:dyDescent="0.35">
      <c r="A958" t="s">
        <v>968</v>
      </c>
      <c r="B958" t="s">
        <v>1212</v>
      </c>
      <c r="C958" t="s">
        <v>1224</v>
      </c>
      <c r="D958">
        <v>2239</v>
      </c>
      <c r="E958">
        <v>4</v>
      </c>
      <c r="F958" t="s">
        <v>1350</v>
      </c>
      <c r="G958" t="s">
        <v>1589</v>
      </c>
      <c r="H958" t="s">
        <v>1592</v>
      </c>
      <c r="I958">
        <v>8956</v>
      </c>
      <c r="J958">
        <v>33</v>
      </c>
      <c r="K958" t="s">
        <v>1595</v>
      </c>
      <c r="L958" t="s">
        <v>1599</v>
      </c>
      <c r="M958" t="str">
        <f>IF(Table1[[#This Row],[Quantity]]&gt;2,"Bulk Order","Normal Order")</f>
        <v>Bulk Order</v>
      </c>
      <c r="N958" t="str">
        <f>_xlfn.CONCAT(Table1[[#This Row],[Category]],"-",Table1[[#This Row],[City]])</f>
        <v>Lifestyle-Bangalore</v>
      </c>
      <c r="O958" t="str">
        <f>LEFT(Table1[[#This Row],[Category]],3)</f>
        <v>Lif</v>
      </c>
      <c r="P958" s="2"/>
    </row>
    <row r="959" spans="1:16" x14ac:dyDescent="0.35">
      <c r="A959" t="s">
        <v>969</v>
      </c>
      <c r="B959" t="s">
        <v>1223</v>
      </c>
      <c r="C959" t="s">
        <v>1226</v>
      </c>
      <c r="D959">
        <v>1598</v>
      </c>
      <c r="E959">
        <v>4</v>
      </c>
      <c r="F959" t="s">
        <v>1235</v>
      </c>
      <c r="G959" t="s">
        <v>1585</v>
      </c>
      <c r="H959" t="s">
        <v>1593</v>
      </c>
      <c r="I959">
        <v>6392</v>
      </c>
      <c r="J959">
        <v>91</v>
      </c>
      <c r="K959" t="s">
        <v>1595</v>
      </c>
      <c r="L959" t="s">
        <v>1599</v>
      </c>
      <c r="M959" t="str">
        <f>IF(Table1[[#This Row],[Quantity]]&gt;2,"Bulk Order","Normal Order")</f>
        <v>Bulk Order</v>
      </c>
      <c r="N959" t="str">
        <f>_xlfn.CONCAT(Table1[[#This Row],[Category]],"-",Table1[[#This Row],[City]])</f>
        <v>Home-Kolkata</v>
      </c>
      <c r="O959" t="str">
        <f>LEFT(Table1[[#This Row],[Category]],3)</f>
        <v>Hom</v>
      </c>
      <c r="P959" s="2"/>
    </row>
    <row r="960" spans="1:16" x14ac:dyDescent="0.35">
      <c r="A960" t="s">
        <v>970</v>
      </c>
      <c r="B960" t="s">
        <v>1219</v>
      </c>
      <c r="C960" t="s">
        <v>1228</v>
      </c>
      <c r="D960">
        <v>1556</v>
      </c>
      <c r="E960">
        <v>1</v>
      </c>
      <c r="F960" t="s">
        <v>1344</v>
      </c>
      <c r="G960" t="s">
        <v>1585</v>
      </c>
      <c r="H960" t="s">
        <v>1592</v>
      </c>
      <c r="I960">
        <v>1556</v>
      </c>
      <c r="J960">
        <v>54</v>
      </c>
      <c r="K960" t="s">
        <v>1595</v>
      </c>
      <c r="L960" t="s">
        <v>1598</v>
      </c>
      <c r="M960" t="str">
        <f>IF(Table1[[#This Row],[Quantity]]&gt;2,"Bulk Order","Normal Order")</f>
        <v>Normal Order</v>
      </c>
      <c r="N960" t="str">
        <f>_xlfn.CONCAT(Table1[[#This Row],[Category]],"-",Table1[[#This Row],[City]])</f>
        <v>Electronics-Kolkata</v>
      </c>
      <c r="O960" t="str">
        <f>LEFT(Table1[[#This Row],[Category]],3)</f>
        <v>Ele</v>
      </c>
      <c r="P960" s="2"/>
    </row>
    <row r="961" spans="1:16" x14ac:dyDescent="0.35">
      <c r="A961" t="s">
        <v>971</v>
      </c>
      <c r="B961" t="s">
        <v>1215</v>
      </c>
      <c r="C961" t="s">
        <v>1228</v>
      </c>
      <c r="D961">
        <v>2105</v>
      </c>
      <c r="E961">
        <v>2</v>
      </c>
      <c r="F961" t="s">
        <v>1573</v>
      </c>
      <c r="G961" t="s">
        <v>1584</v>
      </c>
      <c r="H961" t="s">
        <v>1593</v>
      </c>
      <c r="I961">
        <v>4210</v>
      </c>
      <c r="J961">
        <v>48</v>
      </c>
      <c r="K961" t="s">
        <v>1596</v>
      </c>
      <c r="L961" t="s">
        <v>1599</v>
      </c>
      <c r="M961" t="str">
        <f>IF(Table1[[#This Row],[Quantity]]&gt;2,"Bulk Order","Normal Order")</f>
        <v>Normal Order</v>
      </c>
      <c r="N961" t="str">
        <f>_xlfn.CONCAT(Table1[[#This Row],[Category]],"-",Table1[[#This Row],[City]])</f>
        <v>Electronics-Chennai</v>
      </c>
      <c r="O961" t="str">
        <f>LEFT(Table1[[#This Row],[Category]],3)</f>
        <v>Ele</v>
      </c>
      <c r="P961" s="2"/>
    </row>
    <row r="962" spans="1:16" x14ac:dyDescent="0.35">
      <c r="A962" t="s">
        <v>972</v>
      </c>
      <c r="B962" t="s">
        <v>1216</v>
      </c>
      <c r="C962" t="s">
        <v>1228</v>
      </c>
      <c r="D962">
        <v>2750</v>
      </c>
      <c r="E962">
        <v>1</v>
      </c>
      <c r="F962" t="s">
        <v>1417</v>
      </c>
      <c r="G962" t="s">
        <v>1588</v>
      </c>
      <c r="H962" t="s">
        <v>1593</v>
      </c>
      <c r="I962">
        <v>2750</v>
      </c>
      <c r="J962">
        <v>60</v>
      </c>
      <c r="K962" t="s">
        <v>1594</v>
      </c>
      <c r="L962" t="s">
        <v>1597</v>
      </c>
      <c r="M962" t="str">
        <f>IF(Table1[[#This Row],[Quantity]]&gt;2,"Bulk Order","Normal Order")</f>
        <v>Normal Order</v>
      </c>
      <c r="N962" t="str">
        <f>_xlfn.CONCAT(Table1[[#This Row],[Category]],"-",Table1[[#This Row],[City]])</f>
        <v>Electronics-Delhi</v>
      </c>
      <c r="O962" t="str">
        <f>LEFT(Table1[[#This Row],[Category]],3)</f>
        <v>Ele</v>
      </c>
      <c r="P962" s="2"/>
    </row>
    <row r="963" spans="1:16" x14ac:dyDescent="0.35">
      <c r="A963" t="s">
        <v>973</v>
      </c>
      <c r="B963" t="s">
        <v>1215</v>
      </c>
      <c r="C963" t="s">
        <v>1226</v>
      </c>
      <c r="D963">
        <v>2742</v>
      </c>
      <c r="E963">
        <v>1</v>
      </c>
      <c r="F963" t="s">
        <v>1296</v>
      </c>
      <c r="G963" t="s">
        <v>1586</v>
      </c>
      <c r="H963" t="s">
        <v>1591</v>
      </c>
      <c r="I963">
        <v>2742</v>
      </c>
      <c r="J963">
        <v>63</v>
      </c>
      <c r="K963" t="s">
        <v>1596</v>
      </c>
      <c r="L963" t="s">
        <v>1598</v>
      </c>
      <c r="M963" t="str">
        <f>IF(Table1[[#This Row],[Quantity]]&gt;2,"Bulk Order","Normal Order")</f>
        <v>Normal Order</v>
      </c>
      <c r="N963" t="str">
        <f>_xlfn.CONCAT(Table1[[#This Row],[Category]],"-",Table1[[#This Row],[City]])</f>
        <v>Home-Hyderabad</v>
      </c>
      <c r="O963" t="str">
        <f>LEFT(Table1[[#This Row],[Category]],3)</f>
        <v>Hom</v>
      </c>
      <c r="P963" s="2"/>
    </row>
    <row r="964" spans="1:16" x14ac:dyDescent="0.35">
      <c r="A964" t="s">
        <v>974</v>
      </c>
      <c r="B964" t="s">
        <v>1218</v>
      </c>
      <c r="C964" t="s">
        <v>1225</v>
      </c>
      <c r="D964">
        <v>2437</v>
      </c>
      <c r="E964">
        <v>2</v>
      </c>
      <c r="F964" t="s">
        <v>1365</v>
      </c>
      <c r="G964" t="s">
        <v>1587</v>
      </c>
      <c r="H964" t="s">
        <v>1592</v>
      </c>
      <c r="I964">
        <v>4874</v>
      </c>
      <c r="J964">
        <v>79</v>
      </c>
      <c r="K964" t="s">
        <v>1595</v>
      </c>
      <c r="L964" t="s">
        <v>1599</v>
      </c>
      <c r="M964" t="str">
        <f>IF(Table1[[#This Row],[Quantity]]&gt;2,"Bulk Order","Normal Order")</f>
        <v>Normal Order</v>
      </c>
      <c r="N964" t="str">
        <f>_xlfn.CONCAT(Table1[[#This Row],[Category]],"-",Table1[[#This Row],[City]])</f>
        <v>Fitness-Mumbai</v>
      </c>
      <c r="O964" t="str">
        <f>LEFT(Table1[[#This Row],[Category]],3)</f>
        <v>Fit</v>
      </c>
      <c r="P964" s="2"/>
    </row>
    <row r="965" spans="1:16" x14ac:dyDescent="0.35">
      <c r="A965" t="s">
        <v>975</v>
      </c>
      <c r="B965" t="s">
        <v>1216</v>
      </c>
      <c r="C965" t="s">
        <v>1227</v>
      </c>
      <c r="D965">
        <v>1059</v>
      </c>
      <c r="E965">
        <v>1</v>
      </c>
      <c r="F965" t="s">
        <v>1409</v>
      </c>
      <c r="G965" t="s">
        <v>1584</v>
      </c>
      <c r="H965" t="s">
        <v>1590</v>
      </c>
      <c r="I965">
        <v>1059</v>
      </c>
      <c r="J965">
        <v>44</v>
      </c>
      <c r="K965" t="s">
        <v>1595</v>
      </c>
      <c r="L965" t="s">
        <v>1599</v>
      </c>
      <c r="M965" t="str">
        <f>IF(Table1[[#This Row],[Quantity]]&gt;2,"Bulk Order","Normal Order")</f>
        <v>Normal Order</v>
      </c>
      <c r="N965" t="str">
        <f>_xlfn.CONCAT(Table1[[#This Row],[Category]],"-",Table1[[#This Row],[City]])</f>
        <v>Accessories-Chennai</v>
      </c>
      <c r="O965" t="str">
        <f>LEFT(Table1[[#This Row],[Category]],3)</f>
        <v>Acc</v>
      </c>
      <c r="P965" s="2"/>
    </row>
    <row r="966" spans="1:16" x14ac:dyDescent="0.35">
      <c r="A966" t="s">
        <v>976</v>
      </c>
      <c r="B966" t="s">
        <v>1218</v>
      </c>
      <c r="C966" t="s">
        <v>1227</v>
      </c>
      <c r="D966">
        <v>1939</v>
      </c>
      <c r="E966">
        <v>3</v>
      </c>
      <c r="F966" t="s">
        <v>1573</v>
      </c>
      <c r="G966" t="s">
        <v>1584</v>
      </c>
      <c r="H966" t="s">
        <v>1590</v>
      </c>
      <c r="I966">
        <v>5817</v>
      </c>
      <c r="J966">
        <v>61</v>
      </c>
      <c r="K966" t="s">
        <v>1596</v>
      </c>
      <c r="L966" t="s">
        <v>1599</v>
      </c>
      <c r="M966" t="str">
        <f>IF(Table1[[#This Row],[Quantity]]&gt;2,"Bulk Order","Normal Order")</f>
        <v>Bulk Order</v>
      </c>
      <c r="N966" t="str">
        <f>_xlfn.CONCAT(Table1[[#This Row],[Category]],"-",Table1[[#This Row],[City]])</f>
        <v>Accessories-Chennai</v>
      </c>
      <c r="O966" t="str">
        <f>LEFT(Table1[[#This Row],[Category]],3)</f>
        <v>Acc</v>
      </c>
      <c r="P966" s="2"/>
    </row>
    <row r="967" spans="1:16" x14ac:dyDescent="0.35">
      <c r="A967" t="s">
        <v>977</v>
      </c>
      <c r="B967" t="s">
        <v>1218</v>
      </c>
      <c r="C967" t="s">
        <v>1226</v>
      </c>
      <c r="D967">
        <v>2525</v>
      </c>
      <c r="E967">
        <v>4</v>
      </c>
      <c r="F967" t="s">
        <v>1464</v>
      </c>
      <c r="G967" t="s">
        <v>1584</v>
      </c>
      <c r="H967" t="s">
        <v>1593</v>
      </c>
      <c r="I967">
        <v>10100</v>
      </c>
      <c r="J967">
        <v>31</v>
      </c>
      <c r="K967" t="s">
        <v>1594</v>
      </c>
      <c r="L967" t="s">
        <v>1599</v>
      </c>
      <c r="M967" t="str">
        <f>IF(Table1[[#This Row],[Quantity]]&gt;2,"Bulk Order","Normal Order")</f>
        <v>Bulk Order</v>
      </c>
      <c r="N967" t="str">
        <f>_xlfn.CONCAT(Table1[[#This Row],[Category]],"-",Table1[[#This Row],[City]])</f>
        <v>Home-Chennai</v>
      </c>
      <c r="O967" t="str">
        <f>LEFT(Table1[[#This Row],[Category]],3)</f>
        <v>Hom</v>
      </c>
      <c r="P967" s="2"/>
    </row>
    <row r="968" spans="1:16" x14ac:dyDescent="0.35">
      <c r="A968" t="s">
        <v>978</v>
      </c>
      <c r="B968" t="s">
        <v>1216</v>
      </c>
      <c r="C968" t="s">
        <v>1227</v>
      </c>
      <c r="D968">
        <v>3572</v>
      </c>
      <c r="E968">
        <v>2</v>
      </c>
      <c r="F968" t="s">
        <v>1467</v>
      </c>
      <c r="G968" t="s">
        <v>1588</v>
      </c>
      <c r="H968" t="s">
        <v>1591</v>
      </c>
      <c r="I968">
        <v>7144</v>
      </c>
      <c r="J968">
        <v>28</v>
      </c>
      <c r="K968" t="s">
        <v>1595</v>
      </c>
      <c r="L968" t="s">
        <v>1597</v>
      </c>
      <c r="M968" t="str">
        <f>IF(Table1[[#This Row],[Quantity]]&gt;2,"Bulk Order","Normal Order")</f>
        <v>Normal Order</v>
      </c>
      <c r="N968" t="str">
        <f>_xlfn.CONCAT(Table1[[#This Row],[Category]],"-",Table1[[#This Row],[City]])</f>
        <v>Accessories-Delhi</v>
      </c>
      <c r="O968" t="str">
        <f>LEFT(Table1[[#This Row],[Category]],3)</f>
        <v>Acc</v>
      </c>
      <c r="P968" s="2"/>
    </row>
    <row r="969" spans="1:16" x14ac:dyDescent="0.35">
      <c r="A969" t="s">
        <v>979</v>
      </c>
      <c r="B969" t="s">
        <v>1212</v>
      </c>
      <c r="C969" t="s">
        <v>1227</v>
      </c>
      <c r="D969">
        <v>2287</v>
      </c>
      <c r="E969">
        <v>2</v>
      </c>
      <c r="F969" t="s">
        <v>1267</v>
      </c>
      <c r="G969" t="s">
        <v>1584</v>
      </c>
      <c r="H969" t="s">
        <v>1593</v>
      </c>
      <c r="I969">
        <v>4574</v>
      </c>
      <c r="J969">
        <v>50</v>
      </c>
      <c r="K969" t="s">
        <v>1594</v>
      </c>
      <c r="L969" t="s">
        <v>1597</v>
      </c>
      <c r="M969" t="str">
        <f>IF(Table1[[#This Row],[Quantity]]&gt;2,"Bulk Order","Normal Order")</f>
        <v>Normal Order</v>
      </c>
      <c r="N969" t="str">
        <f>_xlfn.CONCAT(Table1[[#This Row],[Category]],"-",Table1[[#This Row],[City]])</f>
        <v>Accessories-Chennai</v>
      </c>
      <c r="O969" t="str">
        <f>LEFT(Table1[[#This Row],[Category]],3)</f>
        <v>Acc</v>
      </c>
      <c r="P969" s="2"/>
    </row>
    <row r="970" spans="1:16" x14ac:dyDescent="0.35">
      <c r="A970" t="s">
        <v>980</v>
      </c>
      <c r="B970" t="s">
        <v>1216</v>
      </c>
      <c r="C970" t="s">
        <v>1225</v>
      </c>
      <c r="D970">
        <v>3000</v>
      </c>
      <c r="E970">
        <v>2</v>
      </c>
      <c r="F970" t="s">
        <v>1542</v>
      </c>
      <c r="G970" t="s">
        <v>1588</v>
      </c>
      <c r="H970" t="s">
        <v>1590</v>
      </c>
      <c r="I970">
        <v>6000</v>
      </c>
      <c r="J970">
        <v>85</v>
      </c>
      <c r="K970" t="s">
        <v>1595</v>
      </c>
      <c r="L970" t="s">
        <v>1598</v>
      </c>
      <c r="M970" t="str">
        <f>IF(Table1[[#This Row],[Quantity]]&gt;2,"Bulk Order","Normal Order")</f>
        <v>Normal Order</v>
      </c>
      <c r="N970" t="str">
        <f>_xlfn.CONCAT(Table1[[#This Row],[Category]],"-",Table1[[#This Row],[City]])</f>
        <v>Fitness-Delhi</v>
      </c>
      <c r="O970" t="str">
        <f>LEFT(Table1[[#This Row],[Category]],3)</f>
        <v>Fit</v>
      </c>
      <c r="P970" s="2"/>
    </row>
    <row r="971" spans="1:16" x14ac:dyDescent="0.35">
      <c r="A971" t="s">
        <v>981</v>
      </c>
      <c r="B971" t="s">
        <v>1218</v>
      </c>
      <c r="C971" t="s">
        <v>1227</v>
      </c>
      <c r="D971">
        <v>645</v>
      </c>
      <c r="E971">
        <v>1</v>
      </c>
      <c r="F971" t="s">
        <v>1277</v>
      </c>
      <c r="G971" t="s">
        <v>1586</v>
      </c>
      <c r="H971" t="s">
        <v>1592</v>
      </c>
      <c r="I971">
        <v>645</v>
      </c>
      <c r="J971">
        <v>51</v>
      </c>
      <c r="K971" t="s">
        <v>1595</v>
      </c>
      <c r="L971" t="s">
        <v>1598</v>
      </c>
      <c r="M971" t="str">
        <f>IF(Table1[[#This Row],[Quantity]]&gt;2,"Bulk Order","Normal Order")</f>
        <v>Normal Order</v>
      </c>
      <c r="N971" t="str">
        <f>_xlfn.CONCAT(Table1[[#This Row],[Category]],"-",Table1[[#This Row],[City]])</f>
        <v>Accessories-Hyderabad</v>
      </c>
      <c r="O971" t="str">
        <f>LEFT(Table1[[#This Row],[Category]],3)</f>
        <v>Acc</v>
      </c>
      <c r="P971" s="2"/>
    </row>
    <row r="972" spans="1:16" x14ac:dyDescent="0.35">
      <c r="A972" t="s">
        <v>982</v>
      </c>
      <c r="B972" t="s">
        <v>1223</v>
      </c>
      <c r="C972" t="s">
        <v>1228</v>
      </c>
      <c r="D972">
        <v>267</v>
      </c>
      <c r="E972">
        <v>1</v>
      </c>
      <c r="F972" t="s">
        <v>1310</v>
      </c>
      <c r="G972" t="s">
        <v>1586</v>
      </c>
      <c r="H972" t="s">
        <v>1591</v>
      </c>
      <c r="I972">
        <v>267</v>
      </c>
      <c r="J972">
        <v>93</v>
      </c>
      <c r="K972" t="s">
        <v>1595</v>
      </c>
      <c r="L972" t="s">
        <v>1599</v>
      </c>
      <c r="M972" t="str">
        <f>IF(Table1[[#This Row],[Quantity]]&gt;2,"Bulk Order","Normal Order")</f>
        <v>Normal Order</v>
      </c>
      <c r="N972" t="str">
        <f>_xlfn.CONCAT(Table1[[#This Row],[Category]],"-",Table1[[#This Row],[City]])</f>
        <v>Electronics-Hyderabad</v>
      </c>
      <c r="O972" t="str">
        <f>LEFT(Table1[[#This Row],[Category]],3)</f>
        <v>Ele</v>
      </c>
      <c r="P972" s="2"/>
    </row>
    <row r="973" spans="1:16" x14ac:dyDescent="0.35">
      <c r="A973" t="s">
        <v>983</v>
      </c>
      <c r="B973" t="s">
        <v>1219</v>
      </c>
      <c r="C973" t="s">
        <v>1227</v>
      </c>
      <c r="D973">
        <v>4880</v>
      </c>
      <c r="E973">
        <v>1</v>
      </c>
      <c r="F973" t="s">
        <v>1574</v>
      </c>
      <c r="G973" t="s">
        <v>1589</v>
      </c>
      <c r="H973" t="s">
        <v>1593</v>
      </c>
      <c r="I973">
        <v>4880</v>
      </c>
      <c r="J973">
        <v>39</v>
      </c>
      <c r="K973" t="s">
        <v>1594</v>
      </c>
      <c r="L973" t="s">
        <v>1599</v>
      </c>
      <c r="M973" t="str">
        <f>IF(Table1[[#This Row],[Quantity]]&gt;2,"Bulk Order","Normal Order")</f>
        <v>Normal Order</v>
      </c>
      <c r="N973" t="str">
        <f>_xlfn.CONCAT(Table1[[#This Row],[Category]],"-",Table1[[#This Row],[City]])</f>
        <v>Accessories-Bangalore</v>
      </c>
      <c r="O973" t="str">
        <f>LEFT(Table1[[#This Row],[Category]],3)</f>
        <v>Acc</v>
      </c>
      <c r="P973" s="2"/>
    </row>
    <row r="974" spans="1:16" x14ac:dyDescent="0.35">
      <c r="A974" t="s">
        <v>984</v>
      </c>
      <c r="B974" t="s">
        <v>1223</v>
      </c>
      <c r="C974" t="s">
        <v>1228</v>
      </c>
      <c r="D974">
        <v>4140</v>
      </c>
      <c r="E974">
        <v>2</v>
      </c>
      <c r="F974" t="s">
        <v>1261</v>
      </c>
      <c r="G974" t="s">
        <v>1588</v>
      </c>
      <c r="H974" t="s">
        <v>1591</v>
      </c>
      <c r="I974">
        <v>8280</v>
      </c>
      <c r="J974">
        <v>35</v>
      </c>
      <c r="K974" t="s">
        <v>1595</v>
      </c>
      <c r="L974" t="s">
        <v>1597</v>
      </c>
      <c r="M974" t="str">
        <f>IF(Table1[[#This Row],[Quantity]]&gt;2,"Bulk Order","Normal Order")</f>
        <v>Normal Order</v>
      </c>
      <c r="N974" t="str">
        <f>_xlfn.CONCAT(Table1[[#This Row],[Category]],"-",Table1[[#This Row],[City]])</f>
        <v>Electronics-Delhi</v>
      </c>
      <c r="O974" t="str">
        <f>LEFT(Table1[[#This Row],[Category]],3)</f>
        <v>Ele</v>
      </c>
      <c r="P974" s="2"/>
    </row>
    <row r="975" spans="1:16" x14ac:dyDescent="0.35">
      <c r="A975" t="s">
        <v>985</v>
      </c>
      <c r="B975" t="s">
        <v>1214</v>
      </c>
      <c r="C975" t="s">
        <v>1225</v>
      </c>
      <c r="D975">
        <v>879</v>
      </c>
      <c r="E975">
        <v>3</v>
      </c>
      <c r="F975" t="s">
        <v>1273</v>
      </c>
      <c r="G975" t="s">
        <v>1589</v>
      </c>
      <c r="H975" t="s">
        <v>1592</v>
      </c>
      <c r="I975">
        <v>2637</v>
      </c>
      <c r="J975">
        <v>90</v>
      </c>
      <c r="K975" t="s">
        <v>1594</v>
      </c>
      <c r="L975" t="s">
        <v>1598</v>
      </c>
      <c r="M975" t="str">
        <f>IF(Table1[[#This Row],[Quantity]]&gt;2,"Bulk Order","Normal Order")</f>
        <v>Bulk Order</v>
      </c>
      <c r="N975" t="str">
        <f>_xlfn.CONCAT(Table1[[#This Row],[Category]],"-",Table1[[#This Row],[City]])</f>
        <v>Fitness-Bangalore</v>
      </c>
      <c r="O975" t="str">
        <f>LEFT(Table1[[#This Row],[Category]],3)</f>
        <v>Fit</v>
      </c>
      <c r="P975" s="2"/>
    </row>
    <row r="976" spans="1:16" x14ac:dyDescent="0.35">
      <c r="A976" t="s">
        <v>986</v>
      </c>
      <c r="B976" t="s">
        <v>1218</v>
      </c>
      <c r="C976" t="s">
        <v>1227</v>
      </c>
      <c r="D976">
        <v>515</v>
      </c>
      <c r="E976">
        <v>2</v>
      </c>
      <c r="F976" t="s">
        <v>1411</v>
      </c>
      <c r="G976" t="s">
        <v>1585</v>
      </c>
      <c r="H976" t="s">
        <v>1591</v>
      </c>
      <c r="I976">
        <v>1030</v>
      </c>
      <c r="J976">
        <v>21</v>
      </c>
      <c r="K976" t="s">
        <v>1595</v>
      </c>
      <c r="L976" t="s">
        <v>1597</v>
      </c>
      <c r="M976" t="str">
        <f>IF(Table1[[#This Row],[Quantity]]&gt;2,"Bulk Order","Normal Order")</f>
        <v>Normal Order</v>
      </c>
      <c r="N976" t="str">
        <f>_xlfn.CONCAT(Table1[[#This Row],[Category]],"-",Table1[[#This Row],[City]])</f>
        <v>Accessories-Kolkata</v>
      </c>
      <c r="O976" t="str">
        <f>LEFT(Table1[[#This Row],[Category]],3)</f>
        <v>Acc</v>
      </c>
      <c r="P976" s="2"/>
    </row>
    <row r="977" spans="1:16" x14ac:dyDescent="0.35">
      <c r="A977" t="s">
        <v>987</v>
      </c>
      <c r="B977" t="s">
        <v>1216</v>
      </c>
      <c r="C977" t="s">
        <v>1224</v>
      </c>
      <c r="D977">
        <v>1868</v>
      </c>
      <c r="E977">
        <v>1</v>
      </c>
      <c r="F977" t="s">
        <v>1431</v>
      </c>
      <c r="G977" t="s">
        <v>1588</v>
      </c>
      <c r="H977" t="s">
        <v>1591</v>
      </c>
      <c r="I977">
        <v>1868</v>
      </c>
      <c r="J977">
        <v>26</v>
      </c>
      <c r="K977" t="s">
        <v>1595</v>
      </c>
      <c r="L977" t="s">
        <v>1598</v>
      </c>
      <c r="M977" t="str">
        <f>IF(Table1[[#This Row],[Quantity]]&gt;2,"Bulk Order","Normal Order")</f>
        <v>Normal Order</v>
      </c>
      <c r="N977" t="str">
        <f>_xlfn.CONCAT(Table1[[#This Row],[Category]],"-",Table1[[#This Row],[City]])</f>
        <v>Lifestyle-Delhi</v>
      </c>
      <c r="O977" t="str">
        <f>LEFT(Table1[[#This Row],[Category]],3)</f>
        <v>Lif</v>
      </c>
      <c r="P977" s="2"/>
    </row>
    <row r="978" spans="1:16" x14ac:dyDescent="0.35">
      <c r="A978" t="s">
        <v>988</v>
      </c>
      <c r="B978" t="s">
        <v>1220</v>
      </c>
      <c r="C978" t="s">
        <v>1226</v>
      </c>
      <c r="D978">
        <v>4780</v>
      </c>
      <c r="E978">
        <v>3</v>
      </c>
      <c r="F978" t="s">
        <v>1499</v>
      </c>
      <c r="G978" t="s">
        <v>1587</v>
      </c>
      <c r="H978" t="s">
        <v>1591</v>
      </c>
      <c r="I978">
        <v>14340</v>
      </c>
      <c r="J978">
        <v>80</v>
      </c>
      <c r="K978" t="s">
        <v>1595</v>
      </c>
      <c r="L978" t="s">
        <v>1597</v>
      </c>
      <c r="M978" t="str">
        <f>IF(Table1[[#This Row],[Quantity]]&gt;2,"Bulk Order","Normal Order")</f>
        <v>Bulk Order</v>
      </c>
      <c r="N978" t="str">
        <f>_xlfn.CONCAT(Table1[[#This Row],[Category]],"-",Table1[[#This Row],[City]])</f>
        <v>Home-Mumbai</v>
      </c>
      <c r="O978" t="str">
        <f>LEFT(Table1[[#This Row],[Category]],3)</f>
        <v>Hom</v>
      </c>
      <c r="P978" s="2"/>
    </row>
    <row r="979" spans="1:16" x14ac:dyDescent="0.35">
      <c r="A979" t="s">
        <v>989</v>
      </c>
      <c r="B979" t="s">
        <v>1212</v>
      </c>
      <c r="C979" t="s">
        <v>1228</v>
      </c>
      <c r="D979">
        <v>1775</v>
      </c>
      <c r="E979">
        <v>3</v>
      </c>
      <c r="F979" t="s">
        <v>1575</v>
      </c>
      <c r="G979" t="s">
        <v>1589</v>
      </c>
      <c r="H979" t="s">
        <v>1592</v>
      </c>
      <c r="I979">
        <v>5325</v>
      </c>
      <c r="J979">
        <v>84</v>
      </c>
      <c r="K979" t="s">
        <v>1595</v>
      </c>
      <c r="L979" t="s">
        <v>1598</v>
      </c>
      <c r="M979" t="str">
        <f>IF(Table1[[#This Row],[Quantity]]&gt;2,"Bulk Order","Normal Order")</f>
        <v>Bulk Order</v>
      </c>
      <c r="N979" t="str">
        <f>_xlfn.CONCAT(Table1[[#This Row],[Category]],"-",Table1[[#This Row],[City]])</f>
        <v>Electronics-Bangalore</v>
      </c>
      <c r="O979" t="str">
        <f>LEFT(Table1[[#This Row],[Category]],3)</f>
        <v>Ele</v>
      </c>
      <c r="P979" s="2"/>
    </row>
    <row r="980" spans="1:16" x14ac:dyDescent="0.35">
      <c r="A980" t="s">
        <v>990</v>
      </c>
      <c r="B980" t="s">
        <v>1219</v>
      </c>
      <c r="C980" t="s">
        <v>1228</v>
      </c>
      <c r="D980">
        <v>2307</v>
      </c>
      <c r="E980">
        <v>1</v>
      </c>
      <c r="F980" t="s">
        <v>1354</v>
      </c>
      <c r="G980" t="s">
        <v>1586</v>
      </c>
      <c r="H980" t="s">
        <v>1590</v>
      </c>
      <c r="I980">
        <v>2307</v>
      </c>
      <c r="J980">
        <v>39</v>
      </c>
      <c r="K980" t="s">
        <v>1595</v>
      </c>
      <c r="L980" t="s">
        <v>1598</v>
      </c>
      <c r="M980" t="str">
        <f>IF(Table1[[#This Row],[Quantity]]&gt;2,"Bulk Order","Normal Order")</f>
        <v>Normal Order</v>
      </c>
      <c r="N980" t="str">
        <f>_xlfn.CONCAT(Table1[[#This Row],[Category]],"-",Table1[[#This Row],[City]])</f>
        <v>Electronics-Hyderabad</v>
      </c>
      <c r="O980" t="str">
        <f>LEFT(Table1[[#This Row],[Category]],3)</f>
        <v>Ele</v>
      </c>
      <c r="P980" s="2"/>
    </row>
    <row r="981" spans="1:16" x14ac:dyDescent="0.35">
      <c r="A981" t="s">
        <v>991</v>
      </c>
      <c r="B981" t="s">
        <v>1213</v>
      </c>
      <c r="C981" t="s">
        <v>1225</v>
      </c>
      <c r="D981">
        <v>3688</v>
      </c>
      <c r="E981">
        <v>1</v>
      </c>
      <c r="F981" t="s">
        <v>1485</v>
      </c>
      <c r="G981" t="s">
        <v>1589</v>
      </c>
      <c r="H981" t="s">
        <v>1591</v>
      </c>
      <c r="I981">
        <v>3688</v>
      </c>
      <c r="J981">
        <v>49</v>
      </c>
      <c r="K981" t="s">
        <v>1595</v>
      </c>
      <c r="L981" t="s">
        <v>1597</v>
      </c>
      <c r="M981" t="str">
        <f>IF(Table1[[#This Row],[Quantity]]&gt;2,"Bulk Order","Normal Order")</f>
        <v>Normal Order</v>
      </c>
      <c r="N981" t="str">
        <f>_xlfn.CONCAT(Table1[[#This Row],[Category]],"-",Table1[[#This Row],[City]])</f>
        <v>Fitness-Bangalore</v>
      </c>
      <c r="O981" t="str">
        <f>LEFT(Table1[[#This Row],[Category]],3)</f>
        <v>Fit</v>
      </c>
      <c r="P981" s="2"/>
    </row>
    <row r="982" spans="1:16" x14ac:dyDescent="0.35">
      <c r="A982" t="s">
        <v>992</v>
      </c>
      <c r="B982" t="s">
        <v>1219</v>
      </c>
      <c r="C982" t="s">
        <v>1226</v>
      </c>
      <c r="D982">
        <v>383</v>
      </c>
      <c r="E982">
        <v>1</v>
      </c>
      <c r="F982" t="s">
        <v>1288</v>
      </c>
      <c r="G982" t="s">
        <v>1588</v>
      </c>
      <c r="H982" t="s">
        <v>1592</v>
      </c>
      <c r="I982">
        <v>383</v>
      </c>
      <c r="J982">
        <v>42</v>
      </c>
      <c r="K982" t="s">
        <v>1595</v>
      </c>
      <c r="L982" t="s">
        <v>1598</v>
      </c>
      <c r="M982" t="str">
        <f>IF(Table1[[#This Row],[Quantity]]&gt;2,"Bulk Order","Normal Order")</f>
        <v>Normal Order</v>
      </c>
      <c r="N982" t="str">
        <f>_xlfn.CONCAT(Table1[[#This Row],[Category]],"-",Table1[[#This Row],[City]])</f>
        <v>Home-Delhi</v>
      </c>
      <c r="O982" t="str">
        <f>LEFT(Table1[[#This Row],[Category]],3)</f>
        <v>Hom</v>
      </c>
      <c r="P982" s="2"/>
    </row>
    <row r="983" spans="1:16" x14ac:dyDescent="0.35">
      <c r="A983" t="s">
        <v>993</v>
      </c>
      <c r="B983" t="s">
        <v>1212</v>
      </c>
      <c r="C983" t="s">
        <v>1228</v>
      </c>
      <c r="D983">
        <v>4305</v>
      </c>
      <c r="E983">
        <v>2</v>
      </c>
      <c r="F983" t="s">
        <v>1253</v>
      </c>
      <c r="G983" t="s">
        <v>1585</v>
      </c>
      <c r="H983" t="s">
        <v>1591</v>
      </c>
      <c r="I983">
        <v>8610</v>
      </c>
      <c r="J983">
        <v>54</v>
      </c>
      <c r="K983" t="s">
        <v>1595</v>
      </c>
      <c r="L983" t="s">
        <v>1599</v>
      </c>
      <c r="M983" t="str">
        <f>IF(Table1[[#This Row],[Quantity]]&gt;2,"Bulk Order","Normal Order")</f>
        <v>Normal Order</v>
      </c>
      <c r="N983" t="str">
        <f>_xlfn.CONCAT(Table1[[#This Row],[Category]],"-",Table1[[#This Row],[City]])</f>
        <v>Electronics-Kolkata</v>
      </c>
      <c r="O983" t="str">
        <f>LEFT(Table1[[#This Row],[Category]],3)</f>
        <v>Ele</v>
      </c>
      <c r="P983" s="2"/>
    </row>
    <row r="984" spans="1:16" x14ac:dyDescent="0.35">
      <c r="A984" t="s">
        <v>994</v>
      </c>
      <c r="B984" t="s">
        <v>1218</v>
      </c>
      <c r="C984" t="s">
        <v>1225</v>
      </c>
      <c r="D984">
        <v>3075</v>
      </c>
      <c r="E984">
        <v>3</v>
      </c>
      <c r="F984" t="s">
        <v>1246</v>
      </c>
      <c r="G984" t="s">
        <v>1589</v>
      </c>
      <c r="H984" t="s">
        <v>1593</v>
      </c>
      <c r="I984">
        <v>9225</v>
      </c>
      <c r="J984">
        <v>25</v>
      </c>
      <c r="K984" t="s">
        <v>1595</v>
      </c>
      <c r="L984" t="s">
        <v>1599</v>
      </c>
      <c r="M984" t="str">
        <f>IF(Table1[[#This Row],[Quantity]]&gt;2,"Bulk Order","Normal Order")</f>
        <v>Bulk Order</v>
      </c>
      <c r="N984" t="str">
        <f>_xlfn.CONCAT(Table1[[#This Row],[Category]],"-",Table1[[#This Row],[City]])</f>
        <v>Fitness-Bangalore</v>
      </c>
      <c r="O984" t="str">
        <f>LEFT(Table1[[#This Row],[Category]],3)</f>
        <v>Fit</v>
      </c>
      <c r="P984" s="2"/>
    </row>
    <row r="985" spans="1:16" x14ac:dyDescent="0.35">
      <c r="A985" t="s">
        <v>995</v>
      </c>
      <c r="B985" t="s">
        <v>1218</v>
      </c>
      <c r="C985" t="s">
        <v>1228</v>
      </c>
      <c r="D985">
        <v>3633</v>
      </c>
      <c r="E985">
        <v>2</v>
      </c>
      <c r="F985" t="s">
        <v>1459</v>
      </c>
      <c r="G985" t="s">
        <v>1584</v>
      </c>
      <c r="H985" t="s">
        <v>1593</v>
      </c>
      <c r="I985">
        <v>7266</v>
      </c>
      <c r="J985">
        <v>86</v>
      </c>
      <c r="K985" t="s">
        <v>1594</v>
      </c>
      <c r="L985" t="s">
        <v>1599</v>
      </c>
      <c r="M985" t="str">
        <f>IF(Table1[[#This Row],[Quantity]]&gt;2,"Bulk Order","Normal Order")</f>
        <v>Normal Order</v>
      </c>
      <c r="N985" t="str">
        <f>_xlfn.CONCAT(Table1[[#This Row],[Category]],"-",Table1[[#This Row],[City]])</f>
        <v>Electronics-Chennai</v>
      </c>
      <c r="O985" t="str">
        <f>LEFT(Table1[[#This Row],[Category]],3)</f>
        <v>Ele</v>
      </c>
      <c r="P985" s="2"/>
    </row>
    <row r="986" spans="1:16" x14ac:dyDescent="0.35">
      <c r="A986" t="s">
        <v>996</v>
      </c>
      <c r="B986" t="s">
        <v>1212</v>
      </c>
      <c r="C986" t="s">
        <v>1225</v>
      </c>
      <c r="D986">
        <v>3011</v>
      </c>
      <c r="E986">
        <v>3</v>
      </c>
      <c r="F986" t="s">
        <v>1298</v>
      </c>
      <c r="G986" t="s">
        <v>1589</v>
      </c>
      <c r="H986" t="s">
        <v>1591</v>
      </c>
      <c r="I986">
        <v>9033</v>
      </c>
      <c r="J986">
        <v>72</v>
      </c>
      <c r="K986" t="s">
        <v>1596</v>
      </c>
      <c r="L986" t="s">
        <v>1599</v>
      </c>
      <c r="M986" t="str">
        <f>IF(Table1[[#This Row],[Quantity]]&gt;2,"Bulk Order","Normal Order")</f>
        <v>Bulk Order</v>
      </c>
      <c r="N986" t="str">
        <f>_xlfn.CONCAT(Table1[[#This Row],[Category]],"-",Table1[[#This Row],[City]])</f>
        <v>Fitness-Bangalore</v>
      </c>
      <c r="O986" t="str">
        <f>LEFT(Table1[[#This Row],[Category]],3)</f>
        <v>Fit</v>
      </c>
      <c r="P986" s="2"/>
    </row>
    <row r="987" spans="1:16" x14ac:dyDescent="0.35">
      <c r="A987" t="s">
        <v>997</v>
      </c>
      <c r="B987" t="s">
        <v>1216</v>
      </c>
      <c r="C987" t="s">
        <v>1228</v>
      </c>
      <c r="D987">
        <v>1629</v>
      </c>
      <c r="E987">
        <v>4</v>
      </c>
      <c r="F987" t="s">
        <v>1568</v>
      </c>
      <c r="G987" t="s">
        <v>1586</v>
      </c>
      <c r="H987" t="s">
        <v>1590</v>
      </c>
      <c r="I987">
        <v>6516</v>
      </c>
      <c r="J987">
        <v>88</v>
      </c>
      <c r="K987" t="s">
        <v>1594</v>
      </c>
      <c r="L987" t="s">
        <v>1599</v>
      </c>
      <c r="M987" t="str">
        <f>IF(Table1[[#This Row],[Quantity]]&gt;2,"Bulk Order","Normal Order")</f>
        <v>Bulk Order</v>
      </c>
      <c r="N987" t="str">
        <f>_xlfn.CONCAT(Table1[[#This Row],[Category]],"-",Table1[[#This Row],[City]])</f>
        <v>Electronics-Hyderabad</v>
      </c>
      <c r="O987" t="str">
        <f>LEFT(Table1[[#This Row],[Category]],3)</f>
        <v>Ele</v>
      </c>
      <c r="P987" s="2"/>
    </row>
    <row r="988" spans="1:16" x14ac:dyDescent="0.35">
      <c r="A988" t="s">
        <v>998</v>
      </c>
      <c r="B988" t="s">
        <v>1219</v>
      </c>
      <c r="C988" t="s">
        <v>1228</v>
      </c>
      <c r="D988">
        <v>2079</v>
      </c>
      <c r="E988">
        <v>2</v>
      </c>
      <c r="F988" t="s">
        <v>1361</v>
      </c>
      <c r="G988" t="s">
        <v>1589</v>
      </c>
      <c r="H988" t="s">
        <v>1593</v>
      </c>
      <c r="I988">
        <v>4158</v>
      </c>
      <c r="J988">
        <v>40</v>
      </c>
      <c r="K988" t="s">
        <v>1595</v>
      </c>
      <c r="L988" t="s">
        <v>1599</v>
      </c>
      <c r="M988" t="str">
        <f>IF(Table1[[#This Row],[Quantity]]&gt;2,"Bulk Order","Normal Order")</f>
        <v>Normal Order</v>
      </c>
      <c r="N988" t="str">
        <f>_xlfn.CONCAT(Table1[[#This Row],[Category]],"-",Table1[[#This Row],[City]])</f>
        <v>Electronics-Bangalore</v>
      </c>
      <c r="O988" t="str">
        <f>LEFT(Table1[[#This Row],[Category]],3)</f>
        <v>Ele</v>
      </c>
      <c r="P988" s="2"/>
    </row>
    <row r="989" spans="1:16" x14ac:dyDescent="0.35">
      <c r="A989" t="s">
        <v>999</v>
      </c>
      <c r="B989" t="s">
        <v>1219</v>
      </c>
      <c r="C989" t="s">
        <v>1224</v>
      </c>
      <c r="D989">
        <v>2127</v>
      </c>
      <c r="E989">
        <v>3</v>
      </c>
      <c r="F989" t="s">
        <v>1274</v>
      </c>
      <c r="G989" t="s">
        <v>1585</v>
      </c>
      <c r="H989" t="s">
        <v>1593</v>
      </c>
      <c r="I989">
        <v>6381</v>
      </c>
      <c r="J989">
        <v>26</v>
      </c>
      <c r="K989" t="s">
        <v>1595</v>
      </c>
      <c r="L989" t="s">
        <v>1599</v>
      </c>
      <c r="M989" t="str">
        <f>IF(Table1[[#This Row],[Quantity]]&gt;2,"Bulk Order","Normal Order")</f>
        <v>Bulk Order</v>
      </c>
      <c r="N989" t="str">
        <f>_xlfn.CONCAT(Table1[[#This Row],[Category]],"-",Table1[[#This Row],[City]])</f>
        <v>Lifestyle-Kolkata</v>
      </c>
      <c r="O989" t="str">
        <f>LEFT(Table1[[#This Row],[Category]],3)</f>
        <v>Lif</v>
      </c>
      <c r="P989" s="2"/>
    </row>
    <row r="990" spans="1:16" x14ac:dyDescent="0.35">
      <c r="A990" t="s">
        <v>1000</v>
      </c>
      <c r="B990" t="s">
        <v>1219</v>
      </c>
      <c r="C990" t="s">
        <v>1227</v>
      </c>
      <c r="D990">
        <v>4763</v>
      </c>
      <c r="E990">
        <v>4</v>
      </c>
      <c r="F990" t="s">
        <v>1356</v>
      </c>
      <c r="G990" t="s">
        <v>1586</v>
      </c>
      <c r="H990" t="s">
        <v>1593</v>
      </c>
      <c r="I990">
        <v>19052</v>
      </c>
      <c r="J990">
        <v>63</v>
      </c>
      <c r="K990" t="s">
        <v>1595</v>
      </c>
      <c r="L990" t="s">
        <v>1597</v>
      </c>
      <c r="M990" t="str">
        <f>IF(Table1[[#This Row],[Quantity]]&gt;2,"Bulk Order","Normal Order")</f>
        <v>Bulk Order</v>
      </c>
      <c r="N990" t="str">
        <f>_xlfn.CONCAT(Table1[[#This Row],[Category]],"-",Table1[[#This Row],[City]])</f>
        <v>Accessories-Hyderabad</v>
      </c>
      <c r="O990" t="str">
        <f>LEFT(Table1[[#This Row],[Category]],3)</f>
        <v>Acc</v>
      </c>
      <c r="P990" s="2"/>
    </row>
    <row r="991" spans="1:16" x14ac:dyDescent="0.35">
      <c r="A991" t="s">
        <v>1001</v>
      </c>
      <c r="B991" t="s">
        <v>1216</v>
      </c>
      <c r="C991" t="s">
        <v>1227</v>
      </c>
      <c r="D991">
        <v>3057</v>
      </c>
      <c r="E991">
        <v>2</v>
      </c>
      <c r="F991" t="s">
        <v>1414</v>
      </c>
      <c r="G991" t="s">
        <v>1588</v>
      </c>
      <c r="H991" t="s">
        <v>1593</v>
      </c>
      <c r="I991">
        <v>6114</v>
      </c>
      <c r="J991">
        <v>23</v>
      </c>
      <c r="K991" t="s">
        <v>1595</v>
      </c>
      <c r="L991" t="s">
        <v>1599</v>
      </c>
      <c r="M991" t="str">
        <f>IF(Table1[[#This Row],[Quantity]]&gt;2,"Bulk Order","Normal Order")</f>
        <v>Normal Order</v>
      </c>
      <c r="N991" t="str">
        <f>_xlfn.CONCAT(Table1[[#This Row],[Category]],"-",Table1[[#This Row],[City]])</f>
        <v>Accessories-Delhi</v>
      </c>
      <c r="O991" t="str">
        <f>LEFT(Table1[[#This Row],[Category]],3)</f>
        <v>Acc</v>
      </c>
      <c r="P991" s="2"/>
    </row>
    <row r="992" spans="1:16" x14ac:dyDescent="0.35">
      <c r="A992" t="s">
        <v>1002</v>
      </c>
      <c r="B992" t="s">
        <v>1212</v>
      </c>
      <c r="C992" t="s">
        <v>1224</v>
      </c>
      <c r="D992">
        <v>3240</v>
      </c>
      <c r="E992">
        <v>1</v>
      </c>
      <c r="F992" t="s">
        <v>1500</v>
      </c>
      <c r="G992" t="s">
        <v>1584</v>
      </c>
      <c r="H992" t="s">
        <v>1592</v>
      </c>
      <c r="I992">
        <v>3240</v>
      </c>
      <c r="J992">
        <v>45</v>
      </c>
      <c r="K992" t="s">
        <v>1594</v>
      </c>
      <c r="L992" t="s">
        <v>1599</v>
      </c>
      <c r="M992" t="str">
        <f>IF(Table1[[#This Row],[Quantity]]&gt;2,"Bulk Order","Normal Order")</f>
        <v>Normal Order</v>
      </c>
      <c r="N992" t="str">
        <f>_xlfn.CONCAT(Table1[[#This Row],[Category]],"-",Table1[[#This Row],[City]])</f>
        <v>Lifestyle-Chennai</v>
      </c>
      <c r="O992" t="str">
        <f>LEFT(Table1[[#This Row],[Category]],3)</f>
        <v>Lif</v>
      </c>
      <c r="P992" s="2"/>
    </row>
    <row r="993" spans="1:16" x14ac:dyDescent="0.35">
      <c r="A993" t="s">
        <v>1003</v>
      </c>
      <c r="B993" t="s">
        <v>1213</v>
      </c>
      <c r="C993" t="s">
        <v>1225</v>
      </c>
      <c r="D993">
        <v>2143</v>
      </c>
      <c r="E993">
        <v>2</v>
      </c>
      <c r="F993" t="s">
        <v>1502</v>
      </c>
      <c r="G993" t="s">
        <v>1588</v>
      </c>
      <c r="H993" t="s">
        <v>1590</v>
      </c>
      <c r="I993">
        <v>4286</v>
      </c>
      <c r="J993">
        <v>35</v>
      </c>
      <c r="K993" t="s">
        <v>1596</v>
      </c>
      <c r="L993" t="s">
        <v>1599</v>
      </c>
      <c r="M993" t="str">
        <f>IF(Table1[[#This Row],[Quantity]]&gt;2,"Bulk Order","Normal Order")</f>
        <v>Normal Order</v>
      </c>
      <c r="N993" t="str">
        <f>_xlfn.CONCAT(Table1[[#This Row],[Category]],"-",Table1[[#This Row],[City]])</f>
        <v>Fitness-Delhi</v>
      </c>
      <c r="O993" t="str">
        <f>LEFT(Table1[[#This Row],[Category]],3)</f>
        <v>Fit</v>
      </c>
      <c r="P993" s="2"/>
    </row>
    <row r="994" spans="1:16" x14ac:dyDescent="0.35">
      <c r="A994" t="s">
        <v>1004</v>
      </c>
      <c r="B994" t="s">
        <v>1222</v>
      </c>
      <c r="C994" t="s">
        <v>1228</v>
      </c>
      <c r="D994">
        <v>3693</v>
      </c>
      <c r="E994">
        <v>2</v>
      </c>
      <c r="F994" t="s">
        <v>1278</v>
      </c>
      <c r="G994" t="s">
        <v>1587</v>
      </c>
      <c r="H994" t="s">
        <v>1593</v>
      </c>
      <c r="I994">
        <v>7386</v>
      </c>
      <c r="J994">
        <v>20</v>
      </c>
      <c r="K994" t="s">
        <v>1595</v>
      </c>
      <c r="L994" t="s">
        <v>1599</v>
      </c>
      <c r="M994" t="str">
        <f>IF(Table1[[#This Row],[Quantity]]&gt;2,"Bulk Order","Normal Order")</f>
        <v>Normal Order</v>
      </c>
      <c r="N994" t="str">
        <f>_xlfn.CONCAT(Table1[[#This Row],[Category]],"-",Table1[[#This Row],[City]])</f>
        <v>Electronics-Mumbai</v>
      </c>
      <c r="O994" t="str">
        <f>LEFT(Table1[[#This Row],[Category]],3)</f>
        <v>Ele</v>
      </c>
      <c r="P994" s="2"/>
    </row>
    <row r="995" spans="1:16" x14ac:dyDescent="0.35">
      <c r="A995" t="s">
        <v>1005</v>
      </c>
      <c r="B995" t="s">
        <v>1212</v>
      </c>
      <c r="C995" t="s">
        <v>1226</v>
      </c>
      <c r="D995">
        <v>3747</v>
      </c>
      <c r="E995">
        <v>4</v>
      </c>
      <c r="F995" t="s">
        <v>1394</v>
      </c>
      <c r="G995" t="s">
        <v>1587</v>
      </c>
      <c r="H995" t="s">
        <v>1593</v>
      </c>
      <c r="I995">
        <v>14988</v>
      </c>
      <c r="J995">
        <v>68</v>
      </c>
      <c r="K995" t="s">
        <v>1595</v>
      </c>
      <c r="L995" t="s">
        <v>1597</v>
      </c>
      <c r="M995" t="str">
        <f>IF(Table1[[#This Row],[Quantity]]&gt;2,"Bulk Order","Normal Order")</f>
        <v>Bulk Order</v>
      </c>
      <c r="N995" t="str">
        <f>_xlfn.CONCAT(Table1[[#This Row],[Category]],"-",Table1[[#This Row],[City]])</f>
        <v>Home-Mumbai</v>
      </c>
      <c r="O995" t="str">
        <f>LEFT(Table1[[#This Row],[Category]],3)</f>
        <v>Hom</v>
      </c>
      <c r="P995" s="2"/>
    </row>
    <row r="996" spans="1:16" x14ac:dyDescent="0.35">
      <c r="A996" t="s">
        <v>1006</v>
      </c>
      <c r="B996" t="s">
        <v>1221</v>
      </c>
      <c r="C996" t="s">
        <v>1226</v>
      </c>
      <c r="D996">
        <v>4367</v>
      </c>
      <c r="E996">
        <v>2</v>
      </c>
      <c r="F996" t="s">
        <v>1377</v>
      </c>
      <c r="G996" t="s">
        <v>1586</v>
      </c>
      <c r="H996" t="s">
        <v>1591</v>
      </c>
      <c r="I996">
        <v>8734</v>
      </c>
      <c r="J996">
        <v>85</v>
      </c>
      <c r="K996" t="s">
        <v>1595</v>
      </c>
      <c r="L996" t="s">
        <v>1598</v>
      </c>
      <c r="M996" t="str">
        <f>IF(Table1[[#This Row],[Quantity]]&gt;2,"Bulk Order","Normal Order")</f>
        <v>Normal Order</v>
      </c>
      <c r="N996" t="str">
        <f>_xlfn.CONCAT(Table1[[#This Row],[Category]],"-",Table1[[#This Row],[City]])</f>
        <v>Home-Hyderabad</v>
      </c>
      <c r="O996" t="str">
        <f>LEFT(Table1[[#This Row],[Category]],3)</f>
        <v>Hom</v>
      </c>
      <c r="P996" s="2"/>
    </row>
    <row r="997" spans="1:16" x14ac:dyDescent="0.35">
      <c r="A997" t="s">
        <v>1007</v>
      </c>
      <c r="B997" t="s">
        <v>1215</v>
      </c>
      <c r="C997" t="s">
        <v>1225</v>
      </c>
      <c r="D997">
        <v>1515</v>
      </c>
      <c r="E997">
        <v>2</v>
      </c>
      <c r="F997" t="s">
        <v>1451</v>
      </c>
      <c r="G997" t="s">
        <v>1586</v>
      </c>
      <c r="H997" t="s">
        <v>1592</v>
      </c>
      <c r="I997">
        <v>3030</v>
      </c>
      <c r="J997">
        <v>86</v>
      </c>
      <c r="K997" t="s">
        <v>1595</v>
      </c>
      <c r="L997" t="s">
        <v>1598</v>
      </c>
      <c r="M997" t="str">
        <f>IF(Table1[[#This Row],[Quantity]]&gt;2,"Bulk Order","Normal Order")</f>
        <v>Normal Order</v>
      </c>
      <c r="N997" t="str">
        <f>_xlfn.CONCAT(Table1[[#This Row],[Category]],"-",Table1[[#This Row],[City]])</f>
        <v>Fitness-Hyderabad</v>
      </c>
      <c r="O997" t="str">
        <f>LEFT(Table1[[#This Row],[Category]],3)</f>
        <v>Fit</v>
      </c>
      <c r="P997" s="2"/>
    </row>
    <row r="998" spans="1:16" x14ac:dyDescent="0.35">
      <c r="A998" t="s">
        <v>1008</v>
      </c>
      <c r="B998" t="s">
        <v>1221</v>
      </c>
      <c r="C998" t="s">
        <v>1226</v>
      </c>
      <c r="D998">
        <v>2207</v>
      </c>
      <c r="E998">
        <v>3</v>
      </c>
      <c r="F998" t="s">
        <v>1521</v>
      </c>
      <c r="G998" t="s">
        <v>1585</v>
      </c>
      <c r="H998" t="s">
        <v>1590</v>
      </c>
      <c r="I998">
        <v>6621</v>
      </c>
      <c r="J998">
        <v>73</v>
      </c>
      <c r="K998" t="s">
        <v>1595</v>
      </c>
      <c r="L998" t="s">
        <v>1599</v>
      </c>
      <c r="M998" t="str">
        <f>IF(Table1[[#This Row],[Quantity]]&gt;2,"Bulk Order","Normal Order")</f>
        <v>Bulk Order</v>
      </c>
      <c r="N998" t="str">
        <f>_xlfn.CONCAT(Table1[[#This Row],[Category]],"-",Table1[[#This Row],[City]])</f>
        <v>Home-Kolkata</v>
      </c>
      <c r="O998" t="str">
        <f>LEFT(Table1[[#This Row],[Category]],3)</f>
        <v>Hom</v>
      </c>
      <c r="P998" s="2"/>
    </row>
    <row r="999" spans="1:16" x14ac:dyDescent="0.35">
      <c r="A999" t="s">
        <v>1009</v>
      </c>
      <c r="B999" t="s">
        <v>1213</v>
      </c>
      <c r="C999" t="s">
        <v>1226</v>
      </c>
      <c r="D999">
        <v>281</v>
      </c>
      <c r="E999">
        <v>3</v>
      </c>
      <c r="F999" t="s">
        <v>1267</v>
      </c>
      <c r="G999" t="s">
        <v>1587</v>
      </c>
      <c r="H999" t="s">
        <v>1593</v>
      </c>
      <c r="I999">
        <v>843</v>
      </c>
      <c r="J999">
        <v>53</v>
      </c>
      <c r="K999" t="s">
        <v>1595</v>
      </c>
      <c r="L999" t="s">
        <v>1598</v>
      </c>
      <c r="M999" t="str">
        <f>IF(Table1[[#This Row],[Quantity]]&gt;2,"Bulk Order","Normal Order")</f>
        <v>Bulk Order</v>
      </c>
      <c r="N999" t="str">
        <f>_xlfn.CONCAT(Table1[[#This Row],[Category]],"-",Table1[[#This Row],[City]])</f>
        <v>Home-Mumbai</v>
      </c>
      <c r="O999" t="str">
        <f>LEFT(Table1[[#This Row],[Category]],3)</f>
        <v>Hom</v>
      </c>
      <c r="P999" s="2"/>
    </row>
    <row r="1000" spans="1:16" x14ac:dyDescent="0.35">
      <c r="A1000" t="s">
        <v>1010</v>
      </c>
      <c r="B1000" t="s">
        <v>1213</v>
      </c>
      <c r="C1000" t="s">
        <v>1226</v>
      </c>
      <c r="D1000">
        <v>3119</v>
      </c>
      <c r="E1000">
        <v>4</v>
      </c>
      <c r="F1000" t="s">
        <v>1311</v>
      </c>
      <c r="G1000" t="s">
        <v>1587</v>
      </c>
      <c r="H1000" t="s">
        <v>1590</v>
      </c>
      <c r="I1000">
        <v>12476</v>
      </c>
      <c r="J1000">
        <v>40</v>
      </c>
      <c r="K1000" t="s">
        <v>1595</v>
      </c>
      <c r="L1000" t="s">
        <v>1599</v>
      </c>
      <c r="M1000" t="str">
        <f>IF(Table1[[#This Row],[Quantity]]&gt;2,"Bulk Order","Normal Order")</f>
        <v>Bulk Order</v>
      </c>
      <c r="N1000" t="str">
        <f>_xlfn.CONCAT(Table1[[#This Row],[Category]],"-",Table1[[#This Row],[City]])</f>
        <v>Home-Mumbai</v>
      </c>
      <c r="O1000" t="str">
        <f>LEFT(Table1[[#This Row],[Category]],3)</f>
        <v>Hom</v>
      </c>
      <c r="P1000" s="2"/>
    </row>
    <row r="1001" spans="1:16" x14ac:dyDescent="0.35">
      <c r="A1001" t="s">
        <v>1011</v>
      </c>
      <c r="B1001" t="s">
        <v>1221</v>
      </c>
      <c r="C1001" t="s">
        <v>1225</v>
      </c>
      <c r="D1001">
        <v>4563</v>
      </c>
      <c r="E1001">
        <v>4</v>
      </c>
      <c r="F1001" t="s">
        <v>1445</v>
      </c>
      <c r="G1001" t="s">
        <v>1584</v>
      </c>
      <c r="H1001" t="s">
        <v>1591</v>
      </c>
      <c r="I1001">
        <v>18252</v>
      </c>
      <c r="J1001">
        <v>33</v>
      </c>
      <c r="K1001" t="s">
        <v>1595</v>
      </c>
      <c r="L1001" t="s">
        <v>1599</v>
      </c>
      <c r="M1001" t="str">
        <f>IF(Table1[[#This Row],[Quantity]]&gt;2,"Bulk Order","Normal Order")</f>
        <v>Bulk Order</v>
      </c>
      <c r="N1001" t="str">
        <f>_xlfn.CONCAT(Table1[[#This Row],[Category]],"-",Table1[[#This Row],[City]])</f>
        <v>Fitness-Chennai</v>
      </c>
      <c r="O1001" t="str">
        <f>LEFT(Table1[[#This Row],[Category]],3)</f>
        <v>Fit</v>
      </c>
      <c r="P1001" s="2"/>
    </row>
    <row r="1002" spans="1:16" x14ac:dyDescent="0.35">
      <c r="A1002" t="s">
        <v>1012</v>
      </c>
      <c r="B1002" t="s">
        <v>1220</v>
      </c>
      <c r="C1002" t="s">
        <v>1228</v>
      </c>
      <c r="D1002">
        <v>1467</v>
      </c>
      <c r="E1002">
        <v>3</v>
      </c>
      <c r="F1002" t="s">
        <v>1509</v>
      </c>
      <c r="G1002" t="s">
        <v>1588</v>
      </c>
      <c r="H1002" t="s">
        <v>1593</v>
      </c>
      <c r="I1002">
        <v>4401</v>
      </c>
      <c r="J1002">
        <v>90</v>
      </c>
      <c r="K1002" t="s">
        <v>1595</v>
      </c>
      <c r="L1002" t="s">
        <v>1599</v>
      </c>
      <c r="M1002" t="str">
        <f>IF(Table1[[#This Row],[Quantity]]&gt;2,"Bulk Order","Normal Order")</f>
        <v>Bulk Order</v>
      </c>
      <c r="N1002" t="str">
        <f>_xlfn.CONCAT(Table1[[#This Row],[Category]],"-",Table1[[#This Row],[City]])</f>
        <v>Electronics-Delhi</v>
      </c>
      <c r="O1002" t="str">
        <f>LEFT(Table1[[#This Row],[Category]],3)</f>
        <v>Ele</v>
      </c>
      <c r="P1002" s="2"/>
    </row>
    <row r="1003" spans="1:16" x14ac:dyDescent="0.35">
      <c r="A1003" t="s">
        <v>1013</v>
      </c>
      <c r="B1003" t="s">
        <v>1213</v>
      </c>
      <c r="C1003" t="s">
        <v>1224</v>
      </c>
      <c r="D1003">
        <v>1458</v>
      </c>
      <c r="E1003">
        <v>1</v>
      </c>
      <c r="F1003" t="s">
        <v>1243</v>
      </c>
      <c r="G1003" t="s">
        <v>1584</v>
      </c>
      <c r="H1003" t="s">
        <v>1593</v>
      </c>
      <c r="I1003">
        <v>1458</v>
      </c>
      <c r="J1003">
        <v>36</v>
      </c>
      <c r="K1003" t="s">
        <v>1596</v>
      </c>
      <c r="L1003" t="s">
        <v>1598</v>
      </c>
      <c r="M1003" t="str">
        <f>IF(Table1[[#This Row],[Quantity]]&gt;2,"Bulk Order","Normal Order")</f>
        <v>Normal Order</v>
      </c>
      <c r="N1003" t="str">
        <f>_xlfn.CONCAT(Table1[[#This Row],[Category]],"-",Table1[[#This Row],[City]])</f>
        <v>Lifestyle-Chennai</v>
      </c>
      <c r="O1003" t="str">
        <f>LEFT(Table1[[#This Row],[Category]],3)</f>
        <v>Lif</v>
      </c>
      <c r="P1003" s="2"/>
    </row>
    <row r="1004" spans="1:16" x14ac:dyDescent="0.35">
      <c r="A1004" t="s">
        <v>1014</v>
      </c>
      <c r="B1004" t="s">
        <v>1213</v>
      </c>
      <c r="C1004" t="s">
        <v>1224</v>
      </c>
      <c r="D1004">
        <v>3306</v>
      </c>
      <c r="E1004">
        <v>3</v>
      </c>
      <c r="F1004" t="s">
        <v>1576</v>
      </c>
      <c r="G1004" t="s">
        <v>1589</v>
      </c>
      <c r="H1004" t="s">
        <v>1592</v>
      </c>
      <c r="I1004">
        <v>9918</v>
      </c>
      <c r="J1004">
        <v>76</v>
      </c>
      <c r="K1004" t="s">
        <v>1595</v>
      </c>
      <c r="L1004" t="s">
        <v>1599</v>
      </c>
      <c r="M1004" t="str">
        <f>IF(Table1[[#This Row],[Quantity]]&gt;2,"Bulk Order","Normal Order")</f>
        <v>Bulk Order</v>
      </c>
      <c r="N1004" t="str">
        <f>_xlfn.CONCAT(Table1[[#This Row],[Category]],"-",Table1[[#This Row],[City]])</f>
        <v>Lifestyle-Bangalore</v>
      </c>
      <c r="O1004" t="str">
        <f>LEFT(Table1[[#This Row],[Category]],3)</f>
        <v>Lif</v>
      </c>
      <c r="P1004" s="2"/>
    </row>
    <row r="1005" spans="1:16" x14ac:dyDescent="0.35">
      <c r="A1005" t="s">
        <v>1015</v>
      </c>
      <c r="B1005" t="s">
        <v>1223</v>
      </c>
      <c r="C1005" t="s">
        <v>1227</v>
      </c>
      <c r="D1005">
        <v>2162</v>
      </c>
      <c r="E1005">
        <v>4</v>
      </c>
      <c r="F1005" t="s">
        <v>1467</v>
      </c>
      <c r="G1005" t="s">
        <v>1586</v>
      </c>
      <c r="H1005" t="s">
        <v>1593</v>
      </c>
      <c r="I1005">
        <v>8648</v>
      </c>
      <c r="J1005">
        <v>39</v>
      </c>
      <c r="K1005" t="s">
        <v>1595</v>
      </c>
      <c r="L1005" t="s">
        <v>1599</v>
      </c>
      <c r="M1005" t="str">
        <f>IF(Table1[[#This Row],[Quantity]]&gt;2,"Bulk Order","Normal Order")</f>
        <v>Bulk Order</v>
      </c>
      <c r="N1005" t="str">
        <f>_xlfn.CONCAT(Table1[[#This Row],[Category]],"-",Table1[[#This Row],[City]])</f>
        <v>Accessories-Hyderabad</v>
      </c>
      <c r="O1005" t="str">
        <f>LEFT(Table1[[#This Row],[Category]],3)</f>
        <v>Acc</v>
      </c>
      <c r="P1005" s="2"/>
    </row>
    <row r="1006" spans="1:16" x14ac:dyDescent="0.35">
      <c r="A1006" t="s">
        <v>1016</v>
      </c>
      <c r="B1006" t="s">
        <v>1222</v>
      </c>
      <c r="C1006" t="s">
        <v>1227</v>
      </c>
      <c r="D1006">
        <v>3241</v>
      </c>
      <c r="E1006">
        <v>3</v>
      </c>
      <c r="F1006" t="s">
        <v>1277</v>
      </c>
      <c r="G1006" t="s">
        <v>1584</v>
      </c>
      <c r="H1006" t="s">
        <v>1593</v>
      </c>
      <c r="I1006">
        <v>9723</v>
      </c>
      <c r="J1006">
        <v>38</v>
      </c>
      <c r="K1006" t="s">
        <v>1595</v>
      </c>
      <c r="L1006" t="s">
        <v>1599</v>
      </c>
      <c r="M1006" t="str">
        <f>IF(Table1[[#This Row],[Quantity]]&gt;2,"Bulk Order","Normal Order")</f>
        <v>Bulk Order</v>
      </c>
      <c r="N1006" t="str">
        <f>_xlfn.CONCAT(Table1[[#This Row],[Category]],"-",Table1[[#This Row],[City]])</f>
        <v>Accessories-Chennai</v>
      </c>
      <c r="O1006" t="str">
        <f>LEFT(Table1[[#This Row],[Category]],3)</f>
        <v>Acc</v>
      </c>
      <c r="P1006" s="2"/>
    </row>
    <row r="1007" spans="1:16" x14ac:dyDescent="0.35">
      <c r="A1007" t="s">
        <v>1017</v>
      </c>
      <c r="B1007" t="s">
        <v>1219</v>
      </c>
      <c r="C1007" t="s">
        <v>1226</v>
      </c>
      <c r="D1007">
        <v>557</v>
      </c>
      <c r="E1007">
        <v>4</v>
      </c>
      <c r="F1007" t="s">
        <v>1450</v>
      </c>
      <c r="G1007" t="s">
        <v>1587</v>
      </c>
      <c r="H1007" t="s">
        <v>1592</v>
      </c>
      <c r="I1007">
        <v>2228</v>
      </c>
      <c r="J1007">
        <v>36</v>
      </c>
      <c r="K1007" t="s">
        <v>1595</v>
      </c>
      <c r="L1007" t="s">
        <v>1599</v>
      </c>
      <c r="M1007" t="str">
        <f>IF(Table1[[#This Row],[Quantity]]&gt;2,"Bulk Order","Normal Order")</f>
        <v>Bulk Order</v>
      </c>
      <c r="N1007" t="str">
        <f>_xlfn.CONCAT(Table1[[#This Row],[Category]],"-",Table1[[#This Row],[City]])</f>
        <v>Home-Mumbai</v>
      </c>
      <c r="O1007" t="str">
        <f>LEFT(Table1[[#This Row],[Category]],3)</f>
        <v>Hom</v>
      </c>
      <c r="P1007" s="2"/>
    </row>
    <row r="1008" spans="1:16" x14ac:dyDescent="0.35">
      <c r="A1008" t="s">
        <v>1018</v>
      </c>
      <c r="B1008" t="s">
        <v>1219</v>
      </c>
      <c r="C1008" t="s">
        <v>1225</v>
      </c>
      <c r="D1008">
        <v>4688</v>
      </c>
      <c r="E1008">
        <v>1</v>
      </c>
      <c r="F1008" t="s">
        <v>1560</v>
      </c>
      <c r="G1008" t="s">
        <v>1587</v>
      </c>
      <c r="H1008" t="s">
        <v>1593</v>
      </c>
      <c r="I1008">
        <v>4688</v>
      </c>
      <c r="J1008">
        <v>65</v>
      </c>
      <c r="K1008" t="s">
        <v>1595</v>
      </c>
      <c r="L1008" t="s">
        <v>1599</v>
      </c>
      <c r="M1008" t="str">
        <f>IF(Table1[[#This Row],[Quantity]]&gt;2,"Bulk Order","Normal Order")</f>
        <v>Normal Order</v>
      </c>
      <c r="N1008" t="str">
        <f>_xlfn.CONCAT(Table1[[#This Row],[Category]],"-",Table1[[#This Row],[City]])</f>
        <v>Fitness-Mumbai</v>
      </c>
      <c r="O1008" t="str">
        <f>LEFT(Table1[[#This Row],[Category]],3)</f>
        <v>Fit</v>
      </c>
      <c r="P1008" s="2"/>
    </row>
    <row r="1009" spans="1:16" x14ac:dyDescent="0.35">
      <c r="A1009" t="s">
        <v>1019</v>
      </c>
      <c r="B1009" t="s">
        <v>1218</v>
      </c>
      <c r="C1009" t="s">
        <v>1225</v>
      </c>
      <c r="D1009">
        <v>3160</v>
      </c>
      <c r="E1009">
        <v>3</v>
      </c>
      <c r="F1009" t="s">
        <v>1430</v>
      </c>
      <c r="G1009" t="s">
        <v>1588</v>
      </c>
      <c r="H1009" t="s">
        <v>1593</v>
      </c>
      <c r="I1009">
        <v>9480</v>
      </c>
      <c r="J1009">
        <v>38</v>
      </c>
      <c r="K1009" t="s">
        <v>1595</v>
      </c>
      <c r="L1009" t="s">
        <v>1598</v>
      </c>
      <c r="M1009" t="str">
        <f>IF(Table1[[#This Row],[Quantity]]&gt;2,"Bulk Order","Normal Order")</f>
        <v>Bulk Order</v>
      </c>
      <c r="N1009" t="str">
        <f>_xlfn.CONCAT(Table1[[#This Row],[Category]],"-",Table1[[#This Row],[City]])</f>
        <v>Fitness-Delhi</v>
      </c>
      <c r="O1009" t="str">
        <f>LEFT(Table1[[#This Row],[Category]],3)</f>
        <v>Fit</v>
      </c>
      <c r="P1009" s="2"/>
    </row>
    <row r="1010" spans="1:16" x14ac:dyDescent="0.35">
      <c r="A1010" t="s">
        <v>1020</v>
      </c>
      <c r="B1010" t="s">
        <v>1221</v>
      </c>
      <c r="C1010" t="s">
        <v>1224</v>
      </c>
      <c r="D1010">
        <v>2588</v>
      </c>
      <c r="E1010">
        <v>3</v>
      </c>
      <c r="F1010" t="s">
        <v>1322</v>
      </c>
      <c r="G1010" t="s">
        <v>1588</v>
      </c>
      <c r="H1010" t="s">
        <v>1592</v>
      </c>
      <c r="I1010">
        <v>7764</v>
      </c>
      <c r="J1010">
        <v>26</v>
      </c>
      <c r="K1010" t="s">
        <v>1596</v>
      </c>
      <c r="L1010" t="s">
        <v>1598</v>
      </c>
      <c r="M1010" t="str">
        <f>IF(Table1[[#This Row],[Quantity]]&gt;2,"Bulk Order","Normal Order")</f>
        <v>Bulk Order</v>
      </c>
      <c r="N1010" t="str">
        <f>_xlfn.CONCAT(Table1[[#This Row],[Category]],"-",Table1[[#This Row],[City]])</f>
        <v>Lifestyle-Delhi</v>
      </c>
      <c r="O1010" t="str">
        <f>LEFT(Table1[[#This Row],[Category]],3)</f>
        <v>Lif</v>
      </c>
      <c r="P1010" s="2"/>
    </row>
    <row r="1011" spans="1:16" x14ac:dyDescent="0.35">
      <c r="A1011" t="s">
        <v>1021</v>
      </c>
      <c r="B1011" t="s">
        <v>1220</v>
      </c>
      <c r="C1011" t="s">
        <v>1225</v>
      </c>
      <c r="D1011">
        <v>608</v>
      </c>
      <c r="E1011">
        <v>1</v>
      </c>
      <c r="F1011" t="s">
        <v>1400</v>
      </c>
      <c r="G1011" t="s">
        <v>1588</v>
      </c>
      <c r="H1011" t="s">
        <v>1593</v>
      </c>
      <c r="I1011">
        <v>608</v>
      </c>
      <c r="J1011">
        <v>86</v>
      </c>
      <c r="K1011" t="s">
        <v>1594</v>
      </c>
      <c r="L1011" t="s">
        <v>1598</v>
      </c>
      <c r="M1011" t="str">
        <f>IF(Table1[[#This Row],[Quantity]]&gt;2,"Bulk Order","Normal Order")</f>
        <v>Normal Order</v>
      </c>
      <c r="N1011" t="str">
        <f>_xlfn.CONCAT(Table1[[#This Row],[Category]],"-",Table1[[#This Row],[City]])</f>
        <v>Fitness-Delhi</v>
      </c>
      <c r="O1011" t="str">
        <f>LEFT(Table1[[#This Row],[Category]],3)</f>
        <v>Fit</v>
      </c>
      <c r="P1011" s="2"/>
    </row>
    <row r="1012" spans="1:16" x14ac:dyDescent="0.35">
      <c r="A1012" t="s">
        <v>1022</v>
      </c>
      <c r="B1012" t="s">
        <v>1212</v>
      </c>
      <c r="C1012" t="s">
        <v>1226</v>
      </c>
      <c r="D1012">
        <v>1733</v>
      </c>
      <c r="E1012">
        <v>2</v>
      </c>
      <c r="F1012" t="s">
        <v>1486</v>
      </c>
      <c r="G1012" t="s">
        <v>1586</v>
      </c>
      <c r="H1012" t="s">
        <v>1591</v>
      </c>
      <c r="I1012">
        <v>3466</v>
      </c>
      <c r="J1012">
        <v>75</v>
      </c>
      <c r="K1012" t="s">
        <v>1595</v>
      </c>
      <c r="L1012" t="s">
        <v>1599</v>
      </c>
      <c r="M1012" t="str">
        <f>IF(Table1[[#This Row],[Quantity]]&gt;2,"Bulk Order","Normal Order")</f>
        <v>Normal Order</v>
      </c>
      <c r="N1012" t="str">
        <f>_xlfn.CONCAT(Table1[[#This Row],[Category]],"-",Table1[[#This Row],[City]])</f>
        <v>Home-Hyderabad</v>
      </c>
      <c r="O1012" t="str">
        <f>LEFT(Table1[[#This Row],[Category]],3)</f>
        <v>Hom</v>
      </c>
      <c r="P1012" s="2"/>
    </row>
    <row r="1013" spans="1:16" x14ac:dyDescent="0.35">
      <c r="A1013" t="s">
        <v>1023</v>
      </c>
      <c r="B1013" t="s">
        <v>1215</v>
      </c>
      <c r="C1013" t="s">
        <v>1228</v>
      </c>
      <c r="D1013">
        <v>798</v>
      </c>
      <c r="E1013">
        <v>3</v>
      </c>
      <c r="F1013" t="s">
        <v>1541</v>
      </c>
      <c r="G1013" t="s">
        <v>1584</v>
      </c>
      <c r="H1013" t="s">
        <v>1591</v>
      </c>
      <c r="I1013">
        <v>2394</v>
      </c>
      <c r="J1013">
        <v>38</v>
      </c>
      <c r="K1013" t="s">
        <v>1595</v>
      </c>
      <c r="L1013" t="s">
        <v>1598</v>
      </c>
      <c r="M1013" t="str">
        <f>IF(Table1[[#This Row],[Quantity]]&gt;2,"Bulk Order","Normal Order")</f>
        <v>Bulk Order</v>
      </c>
      <c r="N1013" t="str">
        <f>_xlfn.CONCAT(Table1[[#This Row],[Category]],"-",Table1[[#This Row],[City]])</f>
        <v>Electronics-Chennai</v>
      </c>
      <c r="O1013" t="str">
        <f>LEFT(Table1[[#This Row],[Category]],3)</f>
        <v>Ele</v>
      </c>
      <c r="P1013" s="2"/>
    </row>
    <row r="1014" spans="1:16" x14ac:dyDescent="0.35">
      <c r="A1014" t="s">
        <v>1024</v>
      </c>
      <c r="B1014" t="s">
        <v>1216</v>
      </c>
      <c r="C1014" t="s">
        <v>1226</v>
      </c>
      <c r="D1014">
        <v>3078</v>
      </c>
      <c r="E1014">
        <v>1</v>
      </c>
      <c r="F1014" t="s">
        <v>1240</v>
      </c>
      <c r="G1014" t="s">
        <v>1586</v>
      </c>
      <c r="H1014" t="s">
        <v>1590</v>
      </c>
      <c r="I1014">
        <v>3078</v>
      </c>
      <c r="J1014">
        <v>100</v>
      </c>
      <c r="K1014" t="s">
        <v>1595</v>
      </c>
      <c r="L1014" t="s">
        <v>1598</v>
      </c>
      <c r="M1014" t="str">
        <f>IF(Table1[[#This Row],[Quantity]]&gt;2,"Bulk Order","Normal Order")</f>
        <v>Normal Order</v>
      </c>
      <c r="N1014" t="str">
        <f>_xlfn.CONCAT(Table1[[#This Row],[Category]],"-",Table1[[#This Row],[City]])</f>
        <v>Home-Hyderabad</v>
      </c>
      <c r="O1014" t="str">
        <f>LEFT(Table1[[#This Row],[Category]],3)</f>
        <v>Hom</v>
      </c>
      <c r="P1014" s="2"/>
    </row>
    <row r="1015" spans="1:16" x14ac:dyDescent="0.35">
      <c r="A1015" t="s">
        <v>1025</v>
      </c>
      <c r="B1015" t="s">
        <v>1215</v>
      </c>
      <c r="C1015" t="s">
        <v>1225</v>
      </c>
      <c r="D1015">
        <v>2810</v>
      </c>
      <c r="E1015">
        <v>3</v>
      </c>
      <c r="F1015" t="s">
        <v>1271</v>
      </c>
      <c r="G1015" t="s">
        <v>1585</v>
      </c>
      <c r="H1015" t="s">
        <v>1593</v>
      </c>
      <c r="I1015">
        <v>8430</v>
      </c>
      <c r="J1015">
        <v>62</v>
      </c>
      <c r="K1015" t="s">
        <v>1595</v>
      </c>
      <c r="L1015" t="s">
        <v>1598</v>
      </c>
      <c r="M1015" t="str">
        <f>IF(Table1[[#This Row],[Quantity]]&gt;2,"Bulk Order","Normal Order")</f>
        <v>Bulk Order</v>
      </c>
      <c r="N1015" t="str">
        <f>_xlfn.CONCAT(Table1[[#This Row],[Category]],"-",Table1[[#This Row],[City]])</f>
        <v>Fitness-Kolkata</v>
      </c>
      <c r="O1015" t="str">
        <f>LEFT(Table1[[#This Row],[Category]],3)</f>
        <v>Fit</v>
      </c>
      <c r="P1015" s="2"/>
    </row>
    <row r="1016" spans="1:16" x14ac:dyDescent="0.35">
      <c r="A1016" t="s">
        <v>1026</v>
      </c>
      <c r="B1016" t="s">
        <v>1220</v>
      </c>
      <c r="C1016" t="s">
        <v>1225</v>
      </c>
      <c r="D1016">
        <v>4951</v>
      </c>
      <c r="E1016">
        <v>2</v>
      </c>
      <c r="F1016" t="s">
        <v>1456</v>
      </c>
      <c r="G1016" t="s">
        <v>1587</v>
      </c>
      <c r="H1016" t="s">
        <v>1590</v>
      </c>
      <c r="I1016">
        <v>9902</v>
      </c>
      <c r="J1016">
        <v>83</v>
      </c>
      <c r="K1016" t="s">
        <v>1595</v>
      </c>
      <c r="L1016" t="s">
        <v>1597</v>
      </c>
      <c r="M1016" t="str">
        <f>IF(Table1[[#This Row],[Quantity]]&gt;2,"Bulk Order","Normal Order")</f>
        <v>Normal Order</v>
      </c>
      <c r="N1016" t="str">
        <f>_xlfn.CONCAT(Table1[[#This Row],[Category]],"-",Table1[[#This Row],[City]])</f>
        <v>Fitness-Mumbai</v>
      </c>
      <c r="O1016" t="str">
        <f>LEFT(Table1[[#This Row],[Category]],3)</f>
        <v>Fit</v>
      </c>
      <c r="P1016" s="2"/>
    </row>
    <row r="1017" spans="1:16" x14ac:dyDescent="0.35">
      <c r="A1017" t="s">
        <v>1027</v>
      </c>
      <c r="B1017" t="s">
        <v>1212</v>
      </c>
      <c r="C1017" t="s">
        <v>1225</v>
      </c>
      <c r="D1017">
        <v>2019</v>
      </c>
      <c r="E1017">
        <v>3</v>
      </c>
      <c r="F1017" t="s">
        <v>1473</v>
      </c>
      <c r="G1017" t="s">
        <v>1585</v>
      </c>
      <c r="H1017" t="s">
        <v>1592</v>
      </c>
      <c r="I1017">
        <v>6057</v>
      </c>
      <c r="J1017">
        <v>95</v>
      </c>
      <c r="K1017" t="s">
        <v>1595</v>
      </c>
      <c r="L1017" t="s">
        <v>1599</v>
      </c>
      <c r="M1017" t="str">
        <f>IF(Table1[[#This Row],[Quantity]]&gt;2,"Bulk Order","Normal Order")</f>
        <v>Bulk Order</v>
      </c>
      <c r="N1017" t="str">
        <f>_xlfn.CONCAT(Table1[[#This Row],[Category]],"-",Table1[[#This Row],[City]])</f>
        <v>Fitness-Kolkata</v>
      </c>
      <c r="O1017" t="str">
        <f>LEFT(Table1[[#This Row],[Category]],3)</f>
        <v>Fit</v>
      </c>
      <c r="P1017" s="2"/>
    </row>
    <row r="1018" spans="1:16" x14ac:dyDescent="0.35">
      <c r="A1018" t="s">
        <v>1028</v>
      </c>
      <c r="B1018" t="s">
        <v>1216</v>
      </c>
      <c r="C1018" t="s">
        <v>1226</v>
      </c>
      <c r="D1018">
        <v>3278</v>
      </c>
      <c r="E1018">
        <v>4</v>
      </c>
      <c r="F1018" t="s">
        <v>1263</v>
      </c>
      <c r="G1018" t="s">
        <v>1585</v>
      </c>
      <c r="H1018" t="s">
        <v>1591</v>
      </c>
      <c r="I1018">
        <v>13112</v>
      </c>
      <c r="J1018">
        <v>44</v>
      </c>
      <c r="K1018" t="s">
        <v>1594</v>
      </c>
      <c r="L1018" t="s">
        <v>1597</v>
      </c>
      <c r="M1018" t="str">
        <f>IF(Table1[[#This Row],[Quantity]]&gt;2,"Bulk Order","Normal Order")</f>
        <v>Bulk Order</v>
      </c>
      <c r="N1018" t="str">
        <f>_xlfn.CONCAT(Table1[[#This Row],[Category]],"-",Table1[[#This Row],[City]])</f>
        <v>Home-Kolkata</v>
      </c>
      <c r="O1018" t="str">
        <f>LEFT(Table1[[#This Row],[Category]],3)</f>
        <v>Hom</v>
      </c>
      <c r="P1018" s="2"/>
    </row>
    <row r="1019" spans="1:16" x14ac:dyDescent="0.35">
      <c r="A1019" t="s">
        <v>1029</v>
      </c>
      <c r="B1019" t="s">
        <v>1220</v>
      </c>
      <c r="C1019" t="s">
        <v>1228</v>
      </c>
      <c r="D1019">
        <v>265</v>
      </c>
      <c r="E1019">
        <v>1</v>
      </c>
      <c r="F1019" t="s">
        <v>1278</v>
      </c>
      <c r="G1019" t="s">
        <v>1587</v>
      </c>
      <c r="H1019" t="s">
        <v>1592</v>
      </c>
      <c r="I1019">
        <v>265</v>
      </c>
      <c r="J1019">
        <v>73</v>
      </c>
      <c r="K1019" t="s">
        <v>1595</v>
      </c>
      <c r="L1019" t="s">
        <v>1599</v>
      </c>
      <c r="M1019" t="str">
        <f>IF(Table1[[#This Row],[Quantity]]&gt;2,"Bulk Order","Normal Order")</f>
        <v>Normal Order</v>
      </c>
      <c r="N1019" t="str">
        <f>_xlfn.CONCAT(Table1[[#This Row],[Category]],"-",Table1[[#This Row],[City]])</f>
        <v>Electronics-Mumbai</v>
      </c>
      <c r="O1019" t="str">
        <f>LEFT(Table1[[#This Row],[Category]],3)</f>
        <v>Ele</v>
      </c>
      <c r="P1019" s="2"/>
    </row>
    <row r="1020" spans="1:16" x14ac:dyDescent="0.35">
      <c r="A1020" t="s">
        <v>1030</v>
      </c>
      <c r="B1020" t="s">
        <v>1217</v>
      </c>
      <c r="C1020" t="s">
        <v>1226</v>
      </c>
      <c r="D1020">
        <v>2371</v>
      </c>
      <c r="E1020">
        <v>1</v>
      </c>
      <c r="F1020" t="s">
        <v>1256</v>
      </c>
      <c r="G1020" t="s">
        <v>1588</v>
      </c>
      <c r="H1020" t="s">
        <v>1591</v>
      </c>
      <c r="I1020">
        <v>2371</v>
      </c>
      <c r="J1020">
        <v>68</v>
      </c>
      <c r="K1020" t="s">
        <v>1595</v>
      </c>
      <c r="L1020" t="s">
        <v>1599</v>
      </c>
      <c r="M1020" t="str">
        <f>IF(Table1[[#This Row],[Quantity]]&gt;2,"Bulk Order","Normal Order")</f>
        <v>Normal Order</v>
      </c>
      <c r="N1020" t="str">
        <f>_xlfn.CONCAT(Table1[[#This Row],[Category]],"-",Table1[[#This Row],[City]])</f>
        <v>Home-Delhi</v>
      </c>
      <c r="O1020" t="str">
        <f>LEFT(Table1[[#This Row],[Category]],3)</f>
        <v>Hom</v>
      </c>
      <c r="P1020" s="2"/>
    </row>
    <row r="1021" spans="1:16" x14ac:dyDescent="0.35">
      <c r="A1021" t="s">
        <v>1031</v>
      </c>
      <c r="B1021" t="s">
        <v>1217</v>
      </c>
      <c r="C1021" t="s">
        <v>1225</v>
      </c>
      <c r="D1021">
        <v>4258</v>
      </c>
      <c r="E1021">
        <v>4</v>
      </c>
      <c r="F1021" t="s">
        <v>1425</v>
      </c>
      <c r="G1021" t="s">
        <v>1585</v>
      </c>
      <c r="H1021" t="s">
        <v>1593</v>
      </c>
      <c r="I1021">
        <v>17032</v>
      </c>
      <c r="J1021">
        <v>38</v>
      </c>
      <c r="K1021" t="s">
        <v>1595</v>
      </c>
      <c r="L1021" t="s">
        <v>1599</v>
      </c>
      <c r="M1021" t="str">
        <f>IF(Table1[[#This Row],[Quantity]]&gt;2,"Bulk Order","Normal Order")</f>
        <v>Bulk Order</v>
      </c>
      <c r="N1021" t="str">
        <f>_xlfn.CONCAT(Table1[[#This Row],[Category]],"-",Table1[[#This Row],[City]])</f>
        <v>Fitness-Kolkata</v>
      </c>
      <c r="O1021" t="str">
        <f>LEFT(Table1[[#This Row],[Category]],3)</f>
        <v>Fit</v>
      </c>
      <c r="P1021" s="2"/>
    </row>
    <row r="1022" spans="1:16" x14ac:dyDescent="0.35">
      <c r="A1022" t="s">
        <v>1032</v>
      </c>
      <c r="B1022" t="s">
        <v>1218</v>
      </c>
      <c r="C1022" t="s">
        <v>1228</v>
      </c>
      <c r="D1022">
        <v>2486</v>
      </c>
      <c r="E1022">
        <v>4</v>
      </c>
      <c r="F1022" t="s">
        <v>1298</v>
      </c>
      <c r="G1022" t="s">
        <v>1586</v>
      </c>
      <c r="H1022" t="s">
        <v>1592</v>
      </c>
      <c r="I1022">
        <v>9944</v>
      </c>
      <c r="J1022">
        <v>23</v>
      </c>
      <c r="K1022" t="s">
        <v>1595</v>
      </c>
      <c r="L1022" t="s">
        <v>1599</v>
      </c>
      <c r="M1022" t="str">
        <f>IF(Table1[[#This Row],[Quantity]]&gt;2,"Bulk Order","Normal Order")</f>
        <v>Bulk Order</v>
      </c>
      <c r="N1022" t="str">
        <f>_xlfn.CONCAT(Table1[[#This Row],[Category]],"-",Table1[[#This Row],[City]])</f>
        <v>Electronics-Hyderabad</v>
      </c>
      <c r="O1022" t="str">
        <f>LEFT(Table1[[#This Row],[Category]],3)</f>
        <v>Ele</v>
      </c>
      <c r="P1022" s="2"/>
    </row>
    <row r="1023" spans="1:16" x14ac:dyDescent="0.35">
      <c r="A1023" t="s">
        <v>1033</v>
      </c>
      <c r="B1023" t="s">
        <v>1212</v>
      </c>
      <c r="C1023" t="s">
        <v>1224</v>
      </c>
      <c r="D1023">
        <v>767</v>
      </c>
      <c r="E1023">
        <v>3</v>
      </c>
      <c r="F1023" t="s">
        <v>1322</v>
      </c>
      <c r="G1023" t="s">
        <v>1589</v>
      </c>
      <c r="H1023" t="s">
        <v>1593</v>
      </c>
      <c r="I1023">
        <v>2301</v>
      </c>
      <c r="J1023">
        <v>83</v>
      </c>
      <c r="K1023" t="s">
        <v>1595</v>
      </c>
      <c r="L1023" t="s">
        <v>1599</v>
      </c>
      <c r="M1023" t="str">
        <f>IF(Table1[[#This Row],[Quantity]]&gt;2,"Bulk Order","Normal Order")</f>
        <v>Bulk Order</v>
      </c>
      <c r="N1023" t="str">
        <f>_xlfn.CONCAT(Table1[[#This Row],[Category]],"-",Table1[[#This Row],[City]])</f>
        <v>Lifestyle-Bangalore</v>
      </c>
      <c r="O1023" t="str">
        <f>LEFT(Table1[[#This Row],[Category]],3)</f>
        <v>Lif</v>
      </c>
      <c r="P1023" s="2"/>
    </row>
    <row r="1024" spans="1:16" x14ac:dyDescent="0.35">
      <c r="A1024" t="s">
        <v>1034</v>
      </c>
      <c r="B1024" t="s">
        <v>1219</v>
      </c>
      <c r="C1024" t="s">
        <v>1227</v>
      </c>
      <c r="D1024">
        <v>1369</v>
      </c>
      <c r="E1024">
        <v>3</v>
      </c>
      <c r="F1024" t="s">
        <v>1265</v>
      </c>
      <c r="G1024" t="s">
        <v>1585</v>
      </c>
      <c r="H1024" t="s">
        <v>1591</v>
      </c>
      <c r="I1024">
        <v>4107</v>
      </c>
      <c r="J1024">
        <v>49</v>
      </c>
      <c r="K1024" t="s">
        <v>1595</v>
      </c>
      <c r="L1024" t="s">
        <v>1598</v>
      </c>
      <c r="M1024" t="str">
        <f>IF(Table1[[#This Row],[Quantity]]&gt;2,"Bulk Order","Normal Order")</f>
        <v>Bulk Order</v>
      </c>
      <c r="N1024" t="str">
        <f>_xlfn.CONCAT(Table1[[#This Row],[Category]],"-",Table1[[#This Row],[City]])</f>
        <v>Accessories-Kolkata</v>
      </c>
      <c r="O1024" t="str">
        <f>LEFT(Table1[[#This Row],[Category]],3)</f>
        <v>Acc</v>
      </c>
      <c r="P1024" s="2"/>
    </row>
    <row r="1025" spans="1:16" x14ac:dyDescent="0.35">
      <c r="A1025" t="s">
        <v>1035</v>
      </c>
      <c r="B1025" t="s">
        <v>1221</v>
      </c>
      <c r="C1025" t="s">
        <v>1227</v>
      </c>
      <c r="D1025">
        <v>2091</v>
      </c>
      <c r="E1025">
        <v>1</v>
      </c>
      <c r="F1025" t="s">
        <v>1270</v>
      </c>
      <c r="G1025" t="s">
        <v>1584</v>
      </c>
      <c r="H1025" t="s">
        <v>1593</v>
      </c>
      <c r="I1025">
        <v>2091</v>
      </c>
      <c r="J1025">
        <v>42</v>
      </c>
      <c r="K1025" t="s">
        <v>1595</v>
      </c>
      <c r="L1025" t="s">
        <v>1599</v>
      </c>
      <c r="M1025" t="str">
        <f>IF(Table1[[#This Row],[Quantity]]&gt;2,"Bulk Order","Normal Order")</f>
        <v>Normal Order</v>
      </c>
      <c r="N1025" t="str">
        <f>_xlfn.CONCAT(Table1[[#This Row],[Category]],"-",Table1[[#This Row],[City]])</f>
        <v>Accessories-Chennai</v>
      </c>
      <c r="O1025" t="str">
        <f>LEFT(Table1[[#This Row],[Category]],3)</f>
        <v>Acc</v>
      </c>
      <c r="P1025" s="2"/>
    </row>
    <row r="1026" spans="1:16" x14ac:dyDescent="0.35">
      <c r="A1026" t="s">
        <v>1036</v>
      </c>
      <c r="B1026" t="s">
        <v>1223</v>
      </c>
      <c r="C1026" t="s">
        <v>1228</v>
      </c>
      <c r="D1026">
        <v>1654</v>
      </c>
      <c r="E1026">
        <v>3</v>
      </c>
      <c r="F1026" t="s">
        <v>1539</v>
      </c>
      <c r="G1026" t="s">
        <v>1588</v>
      </c>
      <c r="H1026" t="s">
        <v>1591</v>
      </c>
      <c r="I1026">
        <v>4962</v>
      </c>
      <c r="J1026">
        <v>60</v>
      </c>
      <c r="K1026" t="s">
        <v>1595</v>
      </c>
      <c r="L1026" t="s">
        <v>1599</v>
      </c>
      <c r="M1026" t="str">
        <f>IF(Table1[[#This Row],[Quantity]]&gt;2,"Bulk Order","Normal Order")</f>
        <v>Bulk Order</v>
      </c>
      <c r="N1026" t="str">
        <f>_xlfn.CONCAT(Table1[[#This Row],[Category]],"-",Table1[[#This Row],[City]])</f>
        <v>Electronics-Delhi</v>
      </c>
      <c r="O1026" t="str">
        <f>LEFT(Table1[[#This Row],[Category]],3)</f>
        <v>Ele</v>
      </c>
      <c r="P1026" s="2"/>
    </row>
    <row r="1027" spans="1:16" x14ac:dyDescent="0.35">
      <c r="A1027" t="s">
        <v>1037</v>
      </c>
      <c r="B1027" t="s">
        <v>1215</v>
      </c>
      <c r="C1027" t="s">
        <v>1228</v>
      </c>
      <c r="D1027">
        <v>681</v>
      </c>
      <c r="E1027">
        <v>3</v>
      </c>
      <c r="F1027" t="s">
        <v>1357</v>
      </c>
      <c r="G1027" t="s">
        <v>1589</v>
      </c>
      <c r="H1027" t="s">
        <v>1590</v>
      </c>
      <c r="I1027">
        <v>2043</v>
      </c>
      <c r="J1027">
        <v>78</v>
      </c>
      <c r="K1027" t="s">
        <v>1595</v>
      </c>
      <c r="L1027" t="s">
        <v>1599</v>
      </c>
      <c r="M1027" t="str">
        <f>IF(Table1[[#This Row],[Quantity]]&gt;2,"Bulk Order","Normal Order")</f>
        <v>Bulk Order</v>
      </c>
      <c r="N1027" t="str">
        <f>_xlfn.CONCAT(Table1[[#This Row],[Category]],"-",Table1[[#This Row],[City]])</f>
        <v>Electronics-Bangalore</v>
      </c>
      <c r="O1027" t="str">
        <f>LEFT(Table1[[#This Row],[Category]],3)</f>
        <v>Ele</v>
      </c>
      <c r="P1027" s="2"/>
    </row>
    <row r="1028" spans="1:16" x14ac:dyDescent="0.35">
      <c r="A1028" t="s">
        <v>1038</v>
      </c>
      <c r="B1028" t="s">
        <v>1213</v>
      </c>
      <c r="C1028" t="s">
        <v>1226</v>
      </c>
      <c r="D1028">
        <v>3519</v>
      </c>
      <c r="E1028">
        <v>3</v>
      </c>
      <c r="F1028" t="s">
        <v>1301</v>
      </c>
      <c r="G1028" t="s">
        <v>1589</v>
      </c>
      <c r="H1028" t="s">
        <v>1592</v>
      </c>
      <c r="I1028">
        <v>10557</v>
      </c>
      <c r="J1028">
        <v>40</v>
      </c>
      <c r="K1028" t="s">
        <v>1595</v>
      </c>
      <c r="L1028" t="s">
        <v>1599</v>
      </c>
      <c r="M1028" t="str">
        <f>IF(Table1[[#This Row],[Quantity]]&gt;2,"Bulk Order","Normal Order")</f>
        <v>Bulk Order</v>
      </c>
      <c r="N1028" t="str">
        <f>_xlfn.CONCAT(Table1[[#This Row],[Category]],"-",Table1[[#This Row],[City]])</f>
        <v>Home-Bangalore</v>
      </c>
      <c r="O1028" t="str">
        <f>LEFT(Table1[[#This Row],[Category]],3)</f>
        <v>Hom</v>
      </c>
      <c r="P1028" s="2"/>
    </row>
    <row r="1029" spans="1:16" x14ac:dyDescent="0.35">
      <c r="A1029" t="s">
        <v>1039</v>
      </c>
      <c r="B1029" t="s">
        <v>1216</v>
      </c>
      <c r="C1029" t="s">
        <v>1227</v>
      </c>
      <c r="D1029">
        <v>2190</v>
      </c>
      <c r="E1029">
        <v>2</v>
      </c>
      <c r="F1029" t="s">
        <v>1577</v>
      </c>
      <c r="G1029" t="s">
        <v>1584</v>
      </c>
      <c r="H1029" t="s">
        <v>1590</v>
      </c>
      <c r="I1029">
        <v>4380</v>
      </c>
      <c r="J1029">
        <v>25</v>
      </c>
      <c r="K1029" t="s">
        <v>1595</v>
      </c>
      <c r="L1029" t="s">
        <v>1598</v>
      </c>
      <c r="M1029" t="str">
        <f>IF(Table1[[#This Row],[Quantity]]&gt;2,"Bulk Order","Normal Order")</f>
        <v>Normal Order</v>
      </c>
      <c r="N1029" t="str">
        <f>_xlfn.CONCAT(Table1[[#This Row],[Category]],"-",Table1[[#This Row],[City]])</f>
        <v>Accessories-Chennai</v>
      </c>
      <c r="O1029" t="str">
        <f>LEFT(Table1[[#This Row],[Category]],3)</f>
        <v>Acc</v>
      </c>
      <c r="P1029" s="2"/>
    </row>
    <row r="1030" spans="1:16" x14ac:dyDescent="0.35">
      <c r="A1030" t="s">
        <v>1040</v>
      </c>
      <c r="B1030" t="s">
        <v>1223</v>
      </c>
      <c r="C1030" t="s">
        <v>1225</v>
      </c>
      <c r="D1030">
        <v>4699</v>
      </c>
      <c r="E1030">
        <v>2</v>
      </c>
      <c r="F1030" t="s">
        <v>1572</v>
      </c>
      <c r="G1030" t="s">
        <v>1584</v>
      </c>
      <c r="H1030" t="s">
        <v>1591</v>
      </c>
      <c r="I1030">
        <v>9398</v>
      </c>
      <c r="J1030">
        <v>53</v>
      </c>
      <c r="K1030" t="s">
        <v>1595</v>
      </c>
      <c r="L1030" t="s">
        <v>1599</v>
      </c>
      <c r="M1030" t="str">
        <f>IF(Table1[[#This Row],[Quantity]]&gt;2,"Bulk Order","Normal Order")</f>
        <v>Normal Order</v>
      </c>
      <c r="N1030" t="str">
        <f>_xlfn.CONCAT(Table1[[#This Row],[Category]],"-",Table1[[#This Row],[City]])</f>
        <v>Fitness-Chennai</v>
      </c>
      <c r="O1030" t="str">
        <f>LEFT(Table1[[#This Row],[Category]],3)</f>
        <v>Fit</v>
      </c>
      <c r="P1030" s="2"/>
    </row>
    <row r="1031" spans="1:16" x14ac:dyDescent="0.35">
      <c r="A1031" t="s">
        <v>1041</v>
      </c>
      <c r="B1031" t="s">
        <v>1220</v>
      </c>
      <c r="C1031" t="s">
        <v>1224</v>
      </c>
      <c r="D1031">
        <v>3447</v>
      </c>
      <c r="E1031">
        <v>3</v>
      </c>
      <c r="F1031" t="s">
        <v>1268</v>
      </c>
      <c r="G1031" t="s">
        <v>1584</v>
      </c>
      <c r="H1031" t="s">
        <v>1590</v>
      </c>
      <c r="I1031">
        <v>10341</v>
      </c>
      <c r="J1031">
        <v>92</v>
      </c>
      <c r="K1031" t="s">
        <v>1595</v>
      </c>
      <c r="L1031" t="s">
        <v>1597</v>
      </c>
      <c r="M1031" t="str">
        <f>IF(Table1[[#This Row],[Quantity]]&gt;2,"Bulk Order","Normal Order")</f>
        <v>Bulk Order</v>
      </c>
      <c r="N1031" t="str">
        <f>_xlfn.CONCAT(Table1[[#This Row],[Category]],"-",Table1[[#This Row],[City]])</f>
        <v>Lifestyle-Chennai</v>
      </c>
      <c r="O1031" t="str">
        <f>LEFT(Table1[[#This Row],[Category]],3)</f>
        <v>Lif</v>
      </c>
      <c r="P1031" s="2"/>
    </row>
    <row r="1032" spans="1:16" x14ac:dyDescent="0.35">
      <c r="A1032" t="s">
        <v>1042</v>
      </c>
      <c r="B1032" t="s">
        <v>1215</v>
      </c>
      <c r="C1032" t="s">
        <v>1226</v>
      </c>
      <c r="D1032">
        <v>4433</v>
      </c>
      <c r="E1032">
        <v>1</v>
      </c>
      <c r="F1032" t="s">
        <v>1319</v>
      </c>
      <c r="G1032" t="s">
        <v>1588</v>
      </c>
      <c r="H1032" t="s">
        <v>1590</v>
      </c>
      <c r="I1032">
        <v>4433</v>
      </c>
      <c r="J1032">
        <v>43</v>
      </c>
      <c r="K1032" t="s">
        <v>1595</v>
      </c>
      <c r="L1032" t="s">
        <v>1598</v>
      </c>
      <c r="M1032" t="str">
        <f>IF(Table1[[#This Row],[Quantity]]&gt;2,"Bulk Order","Normal Order")</f>
        <v>Normal Order</v>
      </c>
      <c r="N1032" t="str">
        <f>_xlfn.CONCAT(Table1[[#This Row],[Category]],"-",Table1[[#This Row],[City]])</f>
        <v>Home-Delhi</v>
      </c>
      <c r="O1032" t="str">
        <f>LEFT(Table1[[#This Row],[Category]],3)</f>
        <v>Hom</v>
      </c>
      <c r="P1032" s="2"/>
    </row>
    <row r="1033" spans="1:16" x14ac:dyDescent="0.35">
      <c r="A1033" t="s">
        <v>1043</v>
      </c>
      <c r="B1033" t="s">
        <v>1215</v>
      </c>
      <c r="C1033" t="s">
        <v>1227</v>
      </c>
      <c r="D1033">
        <v>3030</v>
      </c>
      <c r="E1033">
        <v>2</v>
      </c>
      <c r="F1033" t="s">
        <v>1449</v>
      </c>
      <c r="G1033" t="s">
        <v>1589</v>
      </c>
      <c r="H1033" t="s">
        <v>1591</v>
      </c>
      <c r="I1033">
        <v>6060</v>
      </c>
      <c r="J1033">
        <v>66</v>
      </c>
      <c r="K1033" t="s">
        <v>1595</v>
      </c>
      <c r="L1033" t="s">
        <v>1597</v>
      </c>
      <c r="M1033" t="str">
        <f>IF(Table1[[#This Row],[Quantity]]&gt;2,"Bulk Order","Normal Order")</f>
        <v>Normal Order</v>
      </c>
      <c r="N1033" t="str">
        <f>_xlfn.CONCAT(Table1[[#This Row],[Category]],"-",Table1[[#This Row],[City]])</f>
        <v>Accessories-Bangalore</v>
      </c>
      <c r="O1033" t="str">
        <f>LEFT(Table1[[#This Row],[Category]],3)</f>
        <v>Acc</v>
      </c>
      <c r="P1033" s="2"/>
    </row>
    <row r="1034" spans="1:16" x14ac:dyDescent="0.35">
      <c r="A1034" t="s">
        <v>1044</v>
      </c>
      <c r="B1034" t="s">
        <v>1212</v>
      </c>
      <c r="C1034" t="s">
        <v>1224</v>
      </c>
      <c r="D1034">
        <v>3162</v>
      </c>
      <c r="E1034">
        <v>3</v>
      </c>
      <c r="F1034" t="s">
        <v>1327</v>
      </c>
      <c r="G1034" t="s">
        <v>1587</v>
      </c>
      <c r="H1034" t="s">
        <v>1590</v>
      </c>
      <c r="I1034">
        <v>9486</v>
      </c>
      <c r="J1034">
        <v>43</v>
      </c>
      <c r="K1034" t="s">
        <v>1595</v>
      </c>
      <c r="L1034" t="s">
        <v>1599</v>
      </c>
      <c r="M1034" t="str">
        <f>IF(Table1[[#This Row],[Quantity]]&gt;2,"Bulk Order","Normal Order")</f>
        <v>Bulk Order</v>
      </c>
      <c r="N1034" t="str">
        <f>_xlfn.CONCAT(Table1[[#This Row],[Category]],"-",Table1[[#This Row],[City]])</f>
        <v>Lifestyle-Mumbai</v>
      </c>
      <c r="O1034" t="str">
        <f>LEFT(Table1[[#This Row],[Category]],3)</f>
        <v>Lif</v>
      </c>
      <c r="P1034" s="2"/>
    </row>
    <row r="1035" spans="1:16" x14ac:dyDescent="0.35">
      <c r="A1035" t="s">
        <v>1045</v>
      </c>
      <c r="B1035" t="s">
        <v>1223</v>
      </c>
      <c r="C1035" t="s">
        <v>1224</v>
      </c>
      <c r="D1035">
        <v>347</v>
      </c>
      <c r="E1035">
        <v>2</v>
      </c>
      <c r="F1035" t="s">
        <v>1250</v>
      </c>
      <c r="G1035" t="s">
        <v>1584</v>
      </c>
      <c r="H1035" t="s">
        <v>1590</v>
      </c>
      <c r="I1035">
        <v>694</v>
      </c>
      <c r="J1035">
        <v>25</v>
      </c>
      <c r="K1035" t="s">
        <v>1595</v>
      </c>
      <c r="L1035" t="s">
        <v>1599</v>
      </c>
      <c r="M1035" t="str">
        <f>IF(Table1[[#This Row],[Quantity]]&gt;2,"Bulk Order","Normal Order")</f>
        <v>Normal Order</v>
      </c>
      <c r="N1035" t="str">
        <f>_xlfn.CONCAT(Table1[[#This Row],[Category]],"-",Table1[[#This Row],[City]])</f>
        <v>Lifestyle-Chennai</v>
      </c>
      <c r="O1035" t="str">
        <f>LEFT(Table1[[#This Row],[Category]],3)</f>
        <v>Lif</v>
      </c>
      <c r="P1035" s="2"/>
    </row>
    <row r="1036" spans="1:16" x14ac:dyDescent="0.35">
      <c r="A1036" t="s">
        <v>1046</v>
      </c>
      <c r="B1036" t="s">
        <v>1217</v>
      </c>
      <c r="C1036" t="s">
        <v>1225</v>
      </c>
      <c r="D1036">
        <v>3150</v>
      </c>
      <c r="E1036">
        <v>3</v>
      </c>
      <c r="F1036" t="s">
        <v>1233</v>
      </c>
      <c r="G1036" t="s">
        <v>1588</v>
      </c>
      <c r="H1036" t="s">
        <v>1591</v>
      </c>
      <c r="I1036">
        <v>9450</v>
      </c>
      <c r="J1036">
        <v>74</v>
      </c>
      <c r="K1036" t="s">
        <v>1595</v>
      </c>
      <c r="L1036" t="s">
        <v>1599</v>
      </c>
      <c r="M1036" t="str">
        <f>IF(Table1[[#This Row],[Quantity]]&gt;2,"Bulk Order","Normal Order")</f>
        <v>Bulk Order</v>
      </c>
      <c r="N1036" t="str">
        <f>_xlfn.CONCAT(Table1[[#This Row],[Category]],"-",Table1[[#This Row],[City]])</f>
        <v>Fitness-Delhi</v>
      </c>
      <c r="O1036" t="str">
        <f>LEFT(Table1[[#This Row],[Category]],3)</f>
        <v>Fit</v>
      </c>
      <c r="P1036" s="2"/>
    </row>
    <row r="1037" spans="1:16" x14ac:dyDescent="0.35">
      <c r="A1037" t="s">
        <v>1047</v>
      </c>
      <c r="B1037" t="s">
        <v>1218</v>
      </c>
      <c r="C1037" t="s">
        <v>1224</v>
      </c>
      <c r="D1037">
        <v>3116</v>
      </c>
      <c r="E1037">
        <v>1</v>
      </c>
      <c r="F1037" t="s">
        <v>1318</v>
      </c>
      <c r="G1037" t="s">
        <v>1585</v>
      </c>
      <c r="H1037" t="s">
        <v>1592</v>
      </c>
      <c r="I1037">
        <v>3116</v>
      </c>
      <c r="J1037">
        <v>47</v>
      </c>
      <c r="K1037" t="s">
        <v>1596</v>
      </c>
      <c r="L1037" t="s">
        <v>1599</v>
      </c>
      <c r="M1037" t="str">
        <f>IF(Table1[[#This Row],[Quantity]]&gt;2,"Bulk Order","Normal Order")</f>
        <v>Normal Order</v>
      </c>
      <c r="N1037" t="str">
        <f>_xlfn.CONCAT(Table1[[#This Row],[Category]],"-",Table1[[#This Row],[City]])</f>
        <v>Lifestyle-Kolkata</v>
      </c>
      <c r="O1037" t="str">
        <f>LEFT(Table1[[#This Row],[Category]],3)</f>
        <v>Lif</v>
      </c>
      <c r="P1037" s="2"/>
    </row>
    <row r="1038" spans="1:16" x14ac:dyDescent="0.35">
      <c r="A1038" t="s">
        <v>1048</v>
      </c>
      <c r="B1038" t="s">
        <v>1218</v>
      </c>
      <c r="C1038" t="s">
        <v>1227</v>
      </c>
      <c r="D1038">
        <v>1635</v>
      </c>
      <c r="E1038">
        <v>1</v>
      </c>
      <c r="F1038" t="s">
        <v>1456</v>
      </c>
      <c r="G1038" t="s">
        <v>1586</v>
      </c>
      <c r="H1038" t="s">
        <v>1593</v>
      </c>
      <c r="I1038">
        <v>1635</v>
      </c>
      <c r="J1038">
        <v>34</v>
      </c>
      <c r="K1038" t="s">
        <v>1596</v>
      </c>
      <c r="L1038" t="s">
        <v>1599</v>
      </c>
      <c r="M1038" t="str">
        <f>IF(Table1[[#This Row],[Quantity]]&gt;2,"Bulk Order","Normal Order")</f>
        <v>Normal Order</v>
      </c>
      <c r="N1038" t="str">
        <f>_xlfn.CONCAT(Table1[[#This Row],[Category]],"-",Table1[[#This Row],[City]])</f>
        <v>Accessories-Hyderabad</v>
      </c>
      <c r="O1038" t="str">
        <f>LEFT(Table1[[#This Row],[Category]],3)</f>
        <v>Acc</v>
      </c>
      <c r="P1038" s="2"/>
    </row>
    <row r="1039" spans="1:16" x14ac:dyDescent="0.35">
      <c r="A1039" t="s">
        <v>1049</v>
      </c>
      <c r="B1039" t="s">
        <v>1214</v>
      </c>
      <c r="C1039" t="s">
        <v>1226</v>
      </c>
      <c r="D1039">
        <v>404</v>
      </c>
      <c r="E1039">
        <v>3</v>
      </c>
      <c r="F1039" t="s">
        <v>1280</v>
      </c>
      <c r="G1039" t="s">
        <v>1586</v>
      </c>
      <c r="H1039" t="s">
        <v>1593</v>
      </c>
      <c r="I1039">
        <v>1212</v>
      </c>
      <c r="J1039">
        <v>41</v>
      </c>
      <c r="K1039" t="s">
        <v>1595</v>
      </c>
      <c r="L1039" t="s">
        <v>1597</v>
      </c>
      <c r="M1039" t="str">
        <f>IF(Table1[[#This Row],[Quantity]]&gt;2,"Bulk Order","Normal Order")</f>
        <v>Bulk Order</v>
      </c>
      <c r="N1039" t="str">
        <f>_xlfn.CONCAT(Table1[[#This Row],[Category]],"-",Table1[[#This Row],[City]])</f>
        <v>Home-Hyderabad</v>
      </c>
      <c r="O1039" t="str">
        <f>LEFT(Table1[[#This Row],[Category]],3)</f>
        <v>Hom</v>
      </c>
      <c r="P1039" s="2"/>
    </row>
    <row r="1040" spans="1:16" x14ac:dyDescent="0.35">
      <c r="A1040" t="s">
        <v>1050</v>
      </c>
      <c r="B1040" t="s">
        <v>1220</v>
      </c>
      <c r="C1040" t="s">
        <v>1224</v>
      </c>
      <c r="D1040">
        <v>2465</v>
      </c>
      <c r="E1040">
        <v>1</v>
      </c>
      <c r="F1040" t="s">
        <v>1407</v>
      </c>
      <c r="G1040" t="s">
        <v>1584</v>
      </c>
      <c r="H1040" t="s">
        <v>1593</v>
      </c>
      <c r="I1040">
        <v>2465</v>
      </c>
      <c r="J1040">
        <v>96</v>
      </c>
      <c r="K1040" t="s">
        <v>1596</v>
      </c>
      <c r="L1040" t="s">
        <v>1598</v>
      </c>
      <c r="M1040" t="str">
        <f>IF(Table1[[#This Row],[Quantity]]&gt;2,"Bulk Order","Normal Order")</f>
        <v>Normal Order</v>
      </c>
      <c r="N1040" t="str">
        <f>_xlfn.CONCAT(Table1[[#This Row],[Category]],"-",Table1[[#This Row],[City]])</f>
        <v>Lifestyle-Chennai</v>
      </c>
      <c r="O1040" t="str">
        <f>LEFT(Table1[[#This Row],[Category]],3)</f>
        <v>Lif</v>
      </c>
      <c r="P1040" s="2"/>
    </row>
    <row r="1041" spans="1:16" x14ac:dyDescent="0.35">
      <c r="A1041" t="s">
        <v>1051</v>
      </c>
      <c r="B1041" t="s">
        <v>1215</v>
      </c>
      <c r="C1041" t="s">
        <v>1228</v>
      </c>
      <c r="D1041">
        <v>427</v>
      </c>
      <c r="E1041">
        <v>4</v>
      </c>
      <c r="F1041" t="s">
        <v>1260</v>
      </c>
      <c r="G1041" t="s">
        <v>1587</v>
      </c>
      <c r="H1041" t="s">
        <v>1593</v>
      </c>
      <c r="I1041">
        <v>1708</v>
      </c>
      <c r="J1041">
        <v>78</v>
      </c>
      <c r="K1041" t="s">
        <v>1594</v>
      </c>
      <c r="L1041" t="s">
        <v>1598</v>
      </c>
      <c r="M1041" t="str">
        <f>IF(Table1[[#This Row],[Quantity]]&gt;2,"Bulk Order","Normal Order")</f>
        <v>Bulk Order</v>
      </c>
      <c r="N1041" t="str">
        <f>_xlfn.CONCAT(Table1[[#This Row],[Category]],"-",Table1[[#This Row],[City]])</f>
        <v>Electronics-Mumbai</v>
      </c>
      <c r="O1041" t="str">
        <f>LEFT(Table1[[#This Row],[Category]],3)</f>
        <v>Ele</v>
      </c>
      <c r="P1041" s="2"/>
    </row>
    <row r="1042" spans="1:16" x14ac:dyDescent="0.35">
      <c r="A1042" t="s">
        <v>1052</v>
      </c>
      <c r="B1042" t="s">
        <v>1220</v>
      </c>
      <c r="C1042" t="s">
        <v>1225</v>
      </c>
      <c r="D1042">
        <v>4790</v>
      </c>
      <c r="E1042">
        <v>4</v>
      </c>
      <c r="F1042" t="s">
        <v>1443</v>
      </c>
      <c r="G1042" t="s">
        <v>1585</v>
      </c>
      <c r="H1042" t="s">
        <v>1591</v>
      </c>
      <c r="I1042">
        <v>19160</v>
      </c>
      <c r="J1042">
        <v>59</v>
      </c>
      <c r="K1042" t="s">
        <v>1595</v>
      </c>
      <c r="L1042" t="s">
        <v>1599</v>
      </c>
      <c r="M1042" t="str">
        <f>IF(Table1[[#This Row],[Quantity]]&gt;2,"Bulk Order","Normal Order")</f>
        <v>Bulk Order</v>
      </c>
      <c r="N1042" t="str">
        <f>_xlfn.CONCAT(Table1[[#This Row],[Category]],"-",Table1[[#This Row],[City]])</f>
        <v>Fitness-Kolkata</v>
      </c>
      <c r="O1042" t="str">
        <f>LEFT(Table1[[#This Row],[Category]],3)</f>
        <v>Fit</v>
      </c>
      <c r="P1042" s="2"/>
    </row>
    <row r="1043" spans="1:16" x14ac:dyDescent="0.35">
      <c r="A1043" t="s">
        <v>1053</v>
      </c>
      <c r="B1043" t="s">
        <v>1214</v>
      </c>
      <c r="C1043" t="s">
        <v>1228</v>
      </c>
      <c r="D1043">
        <v>3369</v>
      </c>
      <c r="E1043">
        <v>1</v>
      </c>
      <c r="F1043" t="s">
        <v>1377</v>
      </c>
      <c r="G1043" t="s">
        <v>1587</v>
      </c>
      <c r="H1043" t="s">
        <v>1592</v>
      </c>
      <c r="I1043">
        <v>3369</v>
      </c>
      <c r="J1043">
        <v>69</v>
      </c>
      <c r="K1043" t="s">
        <v>1595</v>
      </c>
      <c r="L1043" t="s">
        <v>1599</v>
      </c>
      <c r="M1043" t="str">
        <f>IF(Table1[[#This Row],[Quantity]]&gt;2,"Bulk Order","Normal Order")</f>
        <v>Normal Order</v>
      </c>
      <c r="N1043" t="str">
        <f>_xlfn.CONCAT(Table1[[#This Row],[Category]],"-",Table1[[#This Row],[City]])</f>
        <v>Electronics-Mumbai</v>
      </c>
      <c r="O1043" t="str">
        <f>LEFT(Table1[[#This Row],[Category]],3)</f>
        <v>Ele</v>
      </c>
      <c r="P1043" s="2"/>
    </row>
    <row r="1044" spans="1:16" x14ac:dyDescent="0.35">
      <c r="A1044" t="s">
        <v>1054</v>
      </c>
      <c r="B1044" t="s">
        <v>1218</v>
      </c>
      <c r="C1044" t="s">
        <v>1227</v>
      </c>
      <c r="D1044">
        <v>2772</v>
      </c>
      <c r="E1044">
        <v>4</v>
      </c>
      <c r="F1044" t="s">
        <v>1375</v>
      </c>
      <c r="G1044" t="s">
        <v>1584</v>
      </c>
      <c r="H1044" t="s">
        <v>1593</v>
      </c>
      <c r="I1044">
        <v>11088</v>
      </c>
      <c r="J1044">
        <v>41</v>
      </c>
      <c r="K1044" t="s">
        <v>1594</v>
      </c>
      <c r="L1044" t="s">
        <v>1598</v>
      </c>
      <c r="M1044" t="str">
        <f>IF(Table1[[#This Row],[Quantity]]&gt;2,"Bulk Order","Normal Order")</f>
        <v>Bulk Order</v>
      </c>
      <c r="N1044" t="str">
        <f>_xlfn.CONCAT(Table1[[#This Row],[Category]],"-",Table1[[#This Row],[City]])</f>
        <v>Accessories-Chennai</v>
      </c>
      <c r="O1044" t="str">
        <f>LEFT(Table1[[#This Row],[Category]],3)</f>
        <v>Acc</v>
      </c>
      <c r="P1044" s="2"/>
    </row>
    <row r="1045" spans="1:16" x14ac:dyDescent="0.35">
      <c r="A1045" t="s">
        <v>1055</v>
      </c>
      <c r="B1045" t="s">
        <v>1212</v>
      </c>
      <c r="C1045" t="s">
        <v>1226</v>
      </c>
      <c r="D1045">
        <v>2268</v>
      </c>
      <c r="E1045">
        <v>3</v>
      </c>
      <c r="F1045" t="s">
        <v>1263</v>
      </c>
      <c r="G1045" t="s">
        <v>1587</v>
      </c>
      <c r="H1045" t="s">
        <v>1593</v>
      </c>
      <c r="I1045">
        <v>6804</v>
      </c>
      <c r="J1045">
        <v>90</v>
      </c>
      <c r="K1045" t="s">
        <v>1595</v>
      </c>
      <c r="L1045" t="s">
        <v>1598</v>
      </c>
      <c r="M1045" t="str">
        <f>IF(Table1[[#This Row],[Quantity]]&gt;2,"Bulk Order","Normal Order")</f>
        <v>Bulk Order</v>
      </c>
      <c r="N1045" t="str">
        <f>_xlfn.CONCAT(Table1[[#This Row],[Category]],"-",Table1[[#This Row],[City]])</f>
        <v>Home-Mumbai</v>
      </c>
      <c r="O1045" t="str">
        <f>LEFT(Table1[[#This Row],[Category]],3)</f>
        <v>Hom</v>
      </c>
      <c r="P1045" s="2"/>
    </row>
    <row r="1046" spans="1:16" x14ac:dyDescent="0.35">
      <c r="A1046" t="s">
        <v>1056</v>
      </c>
      <c r="B1046" t="s">
        <v>1216</v>
      </c>
      <c r="C1046" t="s">
        <v>1225</v>
      </c>
      <c r="D1046">
        <v>2951</v>
      </c>
      <c r="E1046">
        <v>2</v>
      </c>
      <c r="F1046" t="s">
        <v>1569</v>
      </c>
      <c r="G1046" t="s">
        <v>1584</v>
      </c>
      <c r="H1046" t="s">
        <v>1590</v>
      </c>
      <c r="I1046">
        <v>5902</v>
      </c>
      <c r="J1046">
        <v>33</v>
      </c>
      <c r="K1046" t="s">
        <v>1594</v>
      </c>
      <c r="L1046" t="s">
        <v>1597</v>
      </c>
      <c r="M1046" t="str">
        <f>IF(Table1[[#This Row],[Quantity]]&gt;2,"Bulk Order","Normal Order")</f>
        <v>Normal Order</v>
      </c>
      <c r="N1046" t="str">
        <f>_xlfn.CONCAT(Table1[[#This Row],[Category]],"-",Table1[[#This Row],[City]])</f>
        <v>Fitness-Chennai</v>
      </c>
      <c r="O1046" t="str">
        <f>LEFT(Table1[[#This Row],[Category]],3)</f>
        <v>Fit</v>
      </c>
      <c r="P1046" s="2"/>
    </row>
    <row r="1047" spans="1:16" x14ac:dyDescent="0.35">
      <c r="A1047" t="s">
        <v>1057</v>
      </c>
      <c r="B1047" t="s">
        <v>1215</v>
      </c>
      <c r="C1047" t="s">
        <v>1225</v>
      </c>
      <c r="D1047">
        <v>706</v>
      </c>
      <c r="E1047">
        <v>4</v>
      </c>
      <c r="F1047" t="s">
        <v>1422</v>
      </c>
      <c r="G1047" t="s">
        <v>1588</v>
      </c>
      <c r="H1047" t="s">
        <v>1593</v>
      </c>
      <c r="I1047">
        <v>2824</v>
      </c>
      <c r="J1047">
        <v>54</v>
      </c>
      <c r="K1047" t="s">
        <v>1594</v>
      </c>
      <c r="L1047" t="s">
        <v>1599</v>
      </c>
      <c r="M1047" t="str">
        <f>IF(Table1[[#This Row],[Quantity]]&gt;2,"Bulk Order","Normal Order")</f>
        <v>Bulk Order</v>
      </c>
      <c r="N1047" t="str">
        <f>_xlfn.CONCAT(Table1[[#This Row],[Category]],"-",Table1[[#This Row],[City]])</f>
        <v>Fitness-Delhi</v>
      </c>
      <c r="O1047" t="str">
        <f>LEFT(Table1[[#This Row],[Category]],3)</f>
        <v>Fit</v>
      </c>
      <c r="P1047" s="2"/>
    </row>
    <row r="1048" spans="1:16" x14ac:dyDescent="0.35">
      <c r="A1048" t="s">
        <v>1058</v>
      </c>
      <c r="B1048" t="s">
        <v>1222</v>
      </c>
      <c r="C1048" t="s">
        <v>1224</v>
      </c>
      <c r="D1048">
        <v>2697</v>
      </c>
      <c r="E1048">
        <v>2</v>
      </c>
      <c r="F1048" t="s">
        <v>1480</v>
      </c>
      <c r="G1048" t="s">
        <v>1589</v>
      </c>
      <c r="H1048" t="s">
        <v>1593</v>
      </c>
      <c r="I1048">
        <v>5394</v>
      </c>
      <c r="J1048">
        <v>61</v>
      </c>
      <c r="K1048" t="s">
        <v>1594</v>
      </c>
      <c r="L1048" t="s">
        <v>1597</v>
      </c>
      <c r="M1048" t="str">
        <f>IF(Table1[[#This Row],[Quantity]]&gt;2,"Bulk Order","Normal Order")</f>
        <v>Normal Order</v>
      </c>
      <c r="N1048" t="str">
        <f>_xlfn.CONCAT(Table1[[#This Row],[Category]],"-",Table1[[#This Row],[City]])</f>
        <v>Lifestyle-Bangalore</v>
      </c>
      <c r="O1048" t="str">
        <f>LEFT(Table1[[#This Row],[Category]],3)</f>
        <v>Lif</v>
      </c>
      <c r="P1048" s="2"/>
    </row>
    <row r="1049" spans="1:16" x14ac:dyDescent="0.35">
      <c r="A1049" t="s">
        <v>1059</v>
      </c>
      <c r="B1049" t="s">
        <v>1216</v>
      </c>
      <c r="C1049" t="s">
        <v>1228</v>
      </c>
      <c r="D1049">
        <v>1927</v>
      </c>
      <c r="E1049">
        <v>2</v>
      </c>
      <c r="F1049" t="s">
        <v>1374</v>
      </c>
      <c r="G1049" t="s">
        <v>1586</v>
      </c>
      <c r="H1049" t="s">
        <v>1592</v>
      </c>
      <c r="I1049">
        <v>3854</v>
      </c>
      <c r="J1049">
        <v>62</v>
      </c>
      <c r="K1049" t="s">
        <v>1595</v>
      </c>
      <c r="L1049" t="s">
        <v>1597</v>
      </c>
      <c r="M1049" t="str">
        <f>IF(Table1[[#This Row],[Quantity]]&gt;2,"Bulk Order","Normal Order")</f>
        <v>Normal Order</v>
      </c>
      <c r="N1049" t="str">
        <f>_xlfn.CONCAT(Table1[[#This Row],[Category]],"-",Table1[[#This Row],[City]])</f>
        <v>Electronics-Hyderabad</v>
      </c>
      <c r="O1049" t="str">
        <f>LEFT(Table1[[#This Row],[Category]],3)</f>
        <v>Ele</v>
      </c>
      <c r="P1049" s="2"/>
    </row>
    <row r="1050" spans="1:16" x14ac:dyDescent="0.35">
      <c r="A1050" t="s">
        <v>1060</v>
      </c>
      <c r="B1050" t="s">
        <v>1216</v>
      </c>
      <c r="C1050" t="s">
        <v>1224</v>
      </c>
      <c r="D1050">
        <v>3328</v>
      </c>
      <c r="E1050">
        <v>2</v>
      </c>
      <c r="F1050" t="s">
        <v>1271</v>
      </c>
      <c r="G1050" t="s">
        <v>1585</v>
      </c>
      <c r="H1050" t="s">
        <v>1590</v>
      </c>
      <c r="I1050">
        <v>6656</v>
      </c>
      <c r="J1050">
        <v>67</v>
      </c>
      <c r="K1050" t="s">
        <v>1595</v>
      </c>
      <c r="L1050" t="s">
        <v>1599</v>
      </c>
      <c r="M1050" t="str">
        <f>IF(Table1[[#This Row],[Quantity]]&gt;2,"Bulk Order","Normal Order")</f>
        <v>Normal Order</v>
      </c>
      <c r="N1050" t="str">
        <f>_xlfn.CONCAT(Table1[[#This Row],[Category]],"-",Table1[[#This Row],[City]])</f>
        <v>Lifestyle-Kolkata</v>
      </c>
      <c r="O1050" t="str">
        <f>LEFT(Table1[[#This Row],[Category]],3)</f>
        <v>Lif</v>
      </c>
      <c r="P1050" s="2"/>
    </row>
    <row r="1051" spans="1:16" x14ac:dyDescent="0.35">
      <c r="A1051" t="s">
        <v>1061</v>
      </c>
      <c r="B1051" t="s">
        <v>1217</v>
      </c>
      <c r="C1051" t="s">
        <v>1226</v>
      </c>
      <c r="D1051">
        <v>3882</v>
      </c>
      <c r="E1051">
        <v>1</v>
      </c>
      <c r="F1051" t="s">
        <v>1305</v>
      </c>
      <c r="G1051" t="s">
        <v>1584</v>
      </c>
      <c r="H1051" t="s">
        <v>1592</v>
      </c>
      <c r="I1051">
        <v>3882</v>
      </c>
      <c r="J1051">
        <v>30</v>
      </c>
      <c r="K1051" t="s">
        <v>1594</v>
      </c>
      <c r="L1051" t="s">
        <v>1599</v>
      </c>
      <c r="M1051" t="str">
        <f>IF(Table1[[#This Row],[Quantity]]&gt;2,"Bulk Order","Normal Order")</f>
        <v>Normal Order</v>
      </c>
      <c r="N1051" t="str">
        <f>_xlfn.CONCAT(Table1[[#This Row],[Category]],"-",Table1[[#This Row],[City]])</f>
        <v>Home-Chennai</v>
      </c>
      <c r="O1051" t="str">
        <f>LEFT(Table1[[#This Row],[Category]],3)</f>
        <v>Hom</v>
      </c>
      <c r="P1051" s="2"/>
    </row>
    <row r="1052" spans="1:16" x14ac:dyDescent="0.35">
      <c r="A1052" t="s">
        <v>1062</v>
      </c>
      <c r="B1052" t="s">
        <v>1218</v>
      </c>
      <c r="C1052" t="s">
        <v>1226</v>
      </c>
      <c r="D1052">
        <v>682</v>
      </c>
      <c r="E1052">
        <v>3</v>
      </c>
      <c r="F1052" t="s">
        <v>1487</v>
      </c>
      <c r="G1052" t="s">
        <v>1589</v>
      </c>
      <c r="H1052" t="s">
        <v>1591</v>
      </c>
      <c r="I1052">
        <v>2046</v>
      </c>
      <c r="J1052">
        <v>80</v>
      </c>
      <c r="K1052" t="s">
        <v>1594</v>
      </c>
      <c r="L1052" t="s">
        <v>1599</v>
      </c>
      <c r="M1052" t="str">
        <f>IF(Table1[[#This Row],[Quantity]]&gt;2,"Bulk Order","Normal Order")</f>
        <v>Bulk Order</v>
      </c>
      <c r="N1052" t="str">
        <f>_xlfn.CONCAT(Table1[[#This Row],[Category]],"-",Table1[[#This Row],[City]])</f>
        <v>Home-Bangalore</v>
      </c>
      <c r="O1052" t="str">
        <f>LEFT(Table1[[#This Row],[Category]],3)</f>
        <v>Hom</v>
      </c>
      <c r="P1052" s="2"/>
    </row>
    <row r="1053" spans="1:16" x14ac:dyDescent="0.35">
      <c r="A1053" t="s">
        <v>1063</v>
      </c>
      <c r="B1053" t="s">
        <v>1213</v>
      </c>
      <c r="C1053" t="s">
        <v>1227</v>
      </c>
      <c r="D1053">
        <v>3994</v>
      </c>
      <c r="E1053">
        <v>1</v>
      </c>
      <c r="F1053" t="s">
        <v>1429</v>
      </c>
      <c r="G1053" t="s">
        <v>1587</v>
      </c>
      <c r="H1053" t="s">
        <v>1593</v>
      </c>
      <c r="I1053">
        <v>3994</v>
      </c>
      <c r="J1053">
        <v>90</v>
      </c>
      <c r="K1053" t="s">
        <v>1594</v>
      </c>
      <c r="L1053" t="s">
        <v>1597</v>
      </c>
      <c r="M1053" t="str">
        <f>IF(Table1[[#This Row],[Quantity]]&gt;2,"Bulk Order","Normal Order")</f>
        <v>Normal Order</v>
      </c>
      <c r="N1053" t="str">
        <f>_xlfn.CONCAT(Table1[[#This Row],[Category]],"-",Table1[[#This Row],[City]])</f>
        <v>Accessories-Mumbai</v>
      </c>
      <c r="O1053" t="str">
        <f>LEFT(Table1[[#This Row],[Category]],3)</f>
        <v>Acc</v>
      </c>
      <c r="P1053" s="2"/>
    </row>
    <row r="1054" spans="1:16" x14ac:dyDescent="0.35">
      <c r="A1054" t="s">
        <v>1064</v>
      </c>
      <c r="B1054" t="s">
        <v>1220</v>
      </c>
      <c r="C1054" t="s">
        <v>1225</v>
      </c>
      <c r="D1054">
        <v>4278</v>
      </c>
      <c r="E1054">
        <v>4</v>
      </c>
      <c r="F1054" t="s">
        <v>1341</v>
      </c>
      <c r="G1054" t="s">
        <v>1586</v>
      </c>
      <c r="H1054" t="s">
        <v>1592</v>
      </c>
      <c r="I1054">
        <v>17112</v>
      </c>
      <c r="J1054">
        <v>61</v>
      </c>
      <c r="K1054" t="s">
        <v>1594</v>
      </c>
      <c r="L1054" t="s">
        <v>1597</v>
      </c>
      <c r="M1054" t="str">
        <f>IF(Table1[[#This Row],[Quantity]]&gt;2,"Bulk Order","Normal Order")</f>
        <v>Bulk Order</v>
      </c>
      <c r="N1054" t="str">
        <f>_xlfn.CONCAT(Table1[[#This Row],[Category]],"-",Table1[[#This Row],[City]])</f>
        <v>Fitness-Hyderabad</v>
      </c>
      <c r="O1054" t="str">
        <f>LEFT(Table1[[#This Row],[Category]],3)</f>
        <v>Fit</v>
      </c>
      <c r="P1054" s="2"/>
    </row>
    <row r="1055" spans="1:16" x14ac:dyDescent="0.35">
      <c r="A1055" t="s">
        <v>1065</v>
      </c>
      <c r="B1055" t="s">
        <v>1212</v>
      </c>
      <c r="C1055" t="s">
        <v>1228</v>
      </c>
      <c r="D1055">
        <v>786</v>
      </c>
      <c r="E1055">
        <v>3</v>
      </c>
      <c r="F1055" t="s">
        <v>1335</v>
      </c>
      <c r="G1055" t="s">
        <v>1586</v>
      </c>
      <c r="H1055" t="s">
        <v>1593</v>
      </c>
      <c r="I1055">
        <v>2358</v>
      </c>
      <c r="J1055">
        <v>82</v>
      </c>
      <c r="K1055" t="s">
        <v>1595</v>
      </c>
      <c r="L1055" t="s">
        <v>1597</v>
      </c>
      <c r="M1055" t="str">
        <f>IF(Table1[[#This Row],[Quantity]]&gt;2,"Bulk Order","Normal Order")</f>
        <v>Bulk Order</v>
      </c>
      <c r="N1055" t="str">
        <f>_xlfn.CONCAT(Table1[[#This Row],[Category]],"-",Table1[[#This Row],[City]])</f>
        <v>Electronics-Hyderabad</v>
      </c>
      <c r="O1055" t="str">
        <f>LEFT(Table1[[#This Row],[Category]],3)</f>
        <v>Ele</v>
      </c>
      <c r="P1055" s="2"/>
    </row>
    <row r="1056" spans="1:16" x14ac:dyDescent="0.35">
      <c r="A1056" t="s">
        <v>1066</v>
      </c>
      <c r="B1056" t="s">
        <v>1221</v>
      </c>
      <c r="C1056" t="s">
        <v>1228</v>
      </c>
      <c r="D1056">
        <v>3563</v>
      </c>
      <c r="E1056">
        <v>4</v>
      </c>
      <c r="F1056" t="s">
        <v>1450</v>
      </c>
      <c r="G1056" t="s">
        <v>1589</v>
      </c>
      <c r="H1056" t="s">
        <v>1591</v>
      </c>
      <c r="I1056">
        <v>14252</v>
      </c>
      <c r="J1056">
        <v>93</v>
      </c>
      <c r="K1056" t="s">
        <v>1594</v>
      </c>
      <c r="L1056" t="s">
        <v>1599</v>
      </c>
      <c r="M1056" t="str">
        <f>IF(Table1[[#This Row],[Quantity]]&gt;2,"Bulk Order","Normal Order")</f>
        <v>Bulk Order</v>
      </c>
      <c r="N1056" t="str">
        <f>_xlfn.CONCAT(Table1[[#This Row],[Category]],"-",Table1[[#This Row],[City]])</f>
        <v>Electronics-Bangalore</v>
      </c>
      <c r="O1056" t="str">
        <f>LEFT(Table1[[#This Row],[Category]],3)</f>
        <v>Ele</v>
      </c>
      <c r="P1056" s="2"/>
    </row>
    <row r="1057" spans="1:16" x14ac:dyDescent="0.35">
      <c r="A1057" t="s">
        <v>1067</v>
      </c>
      <c r="B1057" t="s">
        <v>1217</v>
      </c>
      <c r="C1057" t="s">
        <v>1227</v>
      </c>
      <c r="D1057">
        <v>4894</v>
      </c>
      <c r="E1057">
        <v>3</v>
      </c>
      <c r="F1057" t="s">
        <v>1321</v>
      </c>
      <c r="G1057" t="s">
        <v>1588</v>
      </c>
      <c r="H1057" t="s">
        <v>1591</v>
      </c>
      <c r="I1057">
        <v>14682</v>
      </c>
      <c r="J1057">
        <v>39</v>
      </c>
      <c r="K1057" t="s">
        <v>1595</v>
      </c>
      <c r="L1057" t="s">
        <v>1599</v>
      </c>
      <c r="M1057" t="str">
        <f>IF(Table1[[#This Row],[Quantity]]&gt;2,"Bulk Order","Normal Order")</f>
        <v>Bulk Order</v>
      </c>
      <c r="N1057" t="str">
        <f>_xlfn.CONCAT(Table1[[#This Row],[Category]],"-",Table1[[#This Row],[City]])</f>
        <v>Accessories-Delhi</v>
      </c>
      <c r="O1057" t="str">
        <f>LEFT(Table1[[#This Row],[Category]],3)</f>
        <v>Acc</v>
      </c>
      <c r="P1057" s="2"/>
    </row>
    <row r="1058" spans="1:16" x14ac:dyDescent="0.35">
      <c r="A1058" t="s">
        <v>1068</v>
      </c>
      <c r="B1058" t="s">
        <v>1216</v>
      </c>
      <c r="C1058" t="s">
        <v>1224</v>
      </c>
      <c r="D1058">
        <v>2475</v>
      </c>
      <c r="E1058">
        <v>3</v>
      </c>
      <c r="F1058" t="s">
        <v>1527</v>
      </c>
      <c r="G1058" t="s">
        <v>1587</v>
      </c>
      <c r="H1058" t="s">
        <v>1590</v>
      </c>
      <c r="I1058">
        <v>7425</v>
      </c>
      <c r="J1058">
        <v>80</v>
      </c>
      <c r="K1058" t="s">
        <v>1595</v>
      </c>
      <c r="L1058" t="s">
        <v>1599</v>
      </c>
      <c r="M1058" t="str">
        <f>IF(Table1[[#This Row],[Quantity]]&gt;2,"Bulk Order","Normal Order")</f>
        <v>Bulk Order</v>
      </c>
      <c r="N1058" t="str">
        <f>_xlfn.CONCAT(Table1[[#This Row],[Category]],"-",Table1[[#This Row],[City]])</f>
        <v>Lifestyle-Mumbai</v>
      </c>
      <c r="O1058" t="str">
        <f>LEFT(Table1[[#This Row],[Category]],3)</f>
        <v>Lif</v>
      </c>
      <c r="P1058" s="2"/>
    </row>
    <row r="1059" spans="1:16" x14ac:dyDescent="0.35">
      <c r="A1059" t="s">
        <v>1069</v>
      </c>
      <c r="B1059" t="s">
        <v>1219</v>
      </c>
      <c r="C1059" t="s">
        <v>1224</v>
      </c>
      <c r="D1059">
        <v>1085</v>
      </c>
      <c r="E1059">
        <v>2</v>
      </c>
      <c r="F1059" t="s">
        <v>1367</v>
      </c>
      <c r="G1059" t="s">
        <v>1585</v>
      </c>
      <c r="H1059" t="s">
        <v>1590</v>
      </c>
      <c r="I1059">
        <v>2170</v>
      </c>
      <c r="J1059">
        <v>26</v>
      </c>
      <c r="K1059" t="s">
        <v>1595</v>
      </c>
      <c r="L1059" t="s">
        <v>1598</v>
      </c>
      <c r="M1059" t="str">
        <f>IF(Table1[[#This Row],[Quantity]]&gt;2,"Bulk Order","Normal Order")</f>
        <v>Normal Order</v>
      </c>
      <c r="N1059" t="str">
        <f>_xlfn.CONCAT(Table1[[#This Row],[Category]],"-",Table1[[#This Row],[City]])</f>
        <v>Lifestyle-Kolkata</v>
      </c>
      <c r="O1059" t="str">
        <f>LEFT(Table1[[#This Row],[Category]],3)</f>
        <v>Lif</v>
      </c>
      <c r="P1059" s="2"/>
    </row>
    <row r="1060" spans="1:16" x14ac:dyDescent="0.35">
      <c r="A1060" t="s">
        <v>1070</v>
      </c>
      <c r="B1060" t="s">
        <v>1221</v>
      </c>
      <c r="C1060" t="s">
        <v>1224</v>
      </c>
      <c r="D1060">
        <v>2680</v>
      </c>
      <c r="E1060">
        <v>1</v>
      </c>
      <c r="F1060" t="s">
        <v>1369</v>
      </c>
      <c r="G1060" t="s">
        <v>1588</v>
      </c>
      <c r="H1060" t="s">
        <v>1593</v>
      </c>
      <c r="I1060">
        <v>2680</v>
      </c>
      <c r="J1060">
        <v>72</v>
      </c>
      <c r="K1060" t="s">
        <v>1595</v>
      </c>
      <c r="L1060" t="s">
        <v>1597</v>
      </c>
      <c r="M1060" t="str">
        <f>IF(Table1[[#This Row],[Quantity]]&gt;2,"Bulk Order","Normal Order")</f>
        <v>Normal Order</v>
      </c>
      <c r="N1060" t="str">
        <f>_xlfn.CONCAT(Table1[[#This Row],[Category]],"-",Table1[[#This Row],[City]])</f>
        <v>Lifestyle-Delhi</v>
      </c>
      <c r="O1060" t="str">
        <f>LEFT(Table1[[#This Row],[Category]],3)</f>
        <v>Lif</v>
      </c>
      <c r="P1060" s="2"/>
    </row>
    <row r="1061" spans="1:16" x14ac:dyDescent="0.35">
      <c r="A1061" t="s">
        <v>1071</v>
      </c>
      <c r="B1061" t="s">
        <v>1221</v>
      </c>
      <c r="C1061" t="s">
        <v>1224</v>
      </c>
      <c r="D1061">
        <v>1764</v>
      </c>
      <c r="E1061">
        <v>4</v>
      </c>
      <c r="F1061" t="s">
        <v>1496</v>
      </c>
      <c r="G1061" t="s">
        <v>1587</v>
      </c>
      <c r="H1061" t="s">
        <v>1592</v>
      </c>
      <c r="I1061">
        <v>7056</v>
      </c>
      <c r="J1061">
        <v>29</v>
      </c>
      <c r="K1061" t="s">
        <v>1595</v>
      </c>
      <c r="L1061" t="s">
        <v>1599</v>
      </c>
      <c r="M1061" t="str">
        <f>IF(Table1[[#This Row],[Quantity]]&gt;2,"Bulk Order","Normal Order")</f>
        <v>Bulk Order</v>
      </c>
      <c r="N1061" t="str">
        <f>_xlfn.CONCAT(Table1[[#This Row],[Category]],"-",Table1[[#This Row],[City]])</f>
        <v>Lifestyle-Mumbai</v>
      </c>
      <c r="O1061" t="str">
        <f>LEFT(Table1[[#This Row],[Category]],3)</f>
        <v>Lif</v>
      </c>
      <c r="P1061" s="2"/>
    </row>
    <row r="1062" spans="1:16" x14ac:dyDescent="0.35">
      <c r="A1062" t="s">
        <v>1072</v>
      </c>
      <c r="B1062" t="s">
        <v>1213</v>
      </c>
      <c r="C1062" t="s">
        <v>1225</v>
      </c>
      <c r="D1062">
        <v>469</v>
      </c>
      <c r="E1062">
        <v>3</v>
      </c>
      <c r="F1062" t="s">
        <v>1261</v>
      </c>
      <c r="G1062" t="s">
        <v>1586</v>
      </c>
      <c r="H1062" t="s">
        <v>1593</v>
      </c>
      <c r="I1062">
        <v>1407</v>
      </c>
      <c r="J1062">
        <v>47</v>
      </c>
      <c r="K1062" t="s">
        <v>1596</v>
      </c>
      <c r="L1062" t="s">
        <v>1598</v>
      </c>
      <c r="M1062" t="str">
        <f>IF(Table1[[#This Row],[Quantity]]&gt;2,"Bulk Order","Normal Order")</f>
        <v>Bulk Order</v>
      </c>
      <c r="N1062" t="str">
        <f>_xlfn.CONCAT(Table1[[#This Row],[Category]],"-",Table1[[#This Row],[City]])</f>
        <v>Fitness-Hyderabad</v>
      </c>
      <c r="O1062" t="str">
        <f>LEFT(Table1[[#This Row],[Category]],3)</f>
        <v>Fit</v>
      </c>
      <c r="P1062" s="2"/>
    </row>
    <row r="1063" spans="1:16" x14ac:dyDescent="0.35">
      <c r="A1063" t="s">
        <v>1073</v>
      </c>
      <c r="B1063" t="s">
        <v>1222</v>
      </c>
      <c r="C1063" t="s">
        <v>1224</v>
      </c>
      <c r="D1063">
        <v>448</v>
      </c>
      <c r="E1063">
        <v>3</v>
      </c>
      <c r="F1063" t="s">
        <v>1506</v>
      </c>
      <c r="G1063" t="s">
        <v>1587</v>
      </c>
      <c r="H1063" t="s">
        <v>1593</v>
      </c>
      <c r="I1063">
        <v>1344</v>
      </c>
      <c r="J1063">
        <v>45</v>
      </c>
      <c r="K1063" t="s">
        <v>1594</v>
      </c>
      <c r="L1063" t="s">
        <v>1598</v>
      </c>
      <c r="M1063" t="str">
        <f>IF(Table1[[#This Row],[Quantity]]&gt;2,"Bulk Order","Normal Order")</f>
        <v>Bulk Order</v>
      </c>
      <c r="N1063" t="str">
        <f>_xlfn.CONCAT(Table1[[#This Row],[Category]],"-",Table1[[#This Row],[City]])</f>
        <v>Lifestyle-Mumbai</v>
      </c>
      <c r="O1063" t="str">
        <f>LEFT(Table1[[#This Row],[Category]],3)</f>
        <v>Lif</v>
      </c>
      <c r="P1063" s="2"/>
    </row>
    <row r="1064" spans="1:16" x14ac:dyDescent="0.35">
      <c r="A1064" t="s">
        <v>1074</v>
      </c>
      <c r="B1064" t="s">
        <v>1217</v>
      </c>
      <c r="C1064" t="s">
        <v>1224</v>
      </c>
      <c r="D1064">
        <v>1247</v>
      </c>
      <c r="E1064">
        <v>1</v>
      </c>
      <c r="F1064" t="s">
        <v>1343</v>
      </c>
      <c r="G1064" t="s">
        <v>1584</v>
      </c>
      <c r="H1064" t="s">
        <v>1592</v>
      </c>
      <c r="I1064">
        <v>1247</v>
      </c>
      <c r="J1064">
        <v>43</v>
      </c>
      <c r="K1064" t="s">
        <v>1595</v>
      </c>
      <c r="L1064" t="s">
        <v>1599</v>
      </c>
      <c r="M1064" t="str">
        <f>IF(Table1[[#This Row],[Quantity]]&gt;2,"Bulk Order","Normal Order")</f>
        <v>Normal Order</v>
      </c>
      <c r="N1064" t="str">
        <f>_xlfn.CONCAT(Table1[[#This Row],[Category]],"-",Table1[[#This Row],[City]])</f>
        <v>Lifestyle-Chennai</v>
      </c>
      <c r="O1064" t="str">
        <f>LEFT(Table1[[#This Row],[Category]],3)</f>
        <v>Lif</v>
      </c>
      <c r="P1064" s="2"/>
    </row>
    <row r="1065" spans="1:16" x14ac:dyDescent="0.35">
      <c r="A1065" t="s">
        <v>1075</v>
      </c>
      <c r="B1065" t="s">
        <v>1216</v>
      </c>
      <c r="C1065" t="s">
        <v>1225</v>
      </c>
      <c r="D1065">
        <v>2703</v>
      </c>
      <c r="E1065">
        <v>4</v>
      </c>
      <c r="F1065" t="s">
        <v>1490</v>
      </c>
      <c r="G1065" t="s">
        <v>1585</v>
      </c>
      <c r="H1065" t="s">
        <v>1593</v>
      </c>
      <c r="I1065">
        <v>10812</v>
      </c>
      <c r="J1065">
        <v>72</v>
      </c>
      <c r="K1065" t="s">
        <v>1595</v>
      </c>
      <c r="L1065" t="s">
        <v>1597</v>
      </c>
      <c r="M1065" t="str">
        <f>IF(Table1[[#This Row],[Quantity]]&gt;2,"Bulk Order","Normal Order")</f>
        <v>Bulk Order</v>
      </c>
      <c r="N1065" t="str">
        <f>_xlfn.CONCAT(Table1[[#This Row],[Category]],"-",Table1[[#This Row],[City]])</f>
        <v>Fitness-Kolkata</v>
      </c>
      <c r="O1065" t="str">
        <f>LEFT(Table1[[#This Row],[Category]],3)</f>
        <v>Fit</v>
      </c>
      <c r="P1065" s="2"/>
    </row>
    <row r="1066" spans="1:16" x14ac:dyDescent="0.35">
      <c r="A1066" t="s">
        <v>1076</v>
      </c>
      <c r="B1066" t="s">
        <v>1215</v>
      </c>
      <c r="C1066" t="s">
        <v>1227</v>
      </c>
      <c r="D1066">
        <v>1893</v>
      </c>
      <c r="E1066">
        <v>3</v>
      </c>
      <c r="F1066" t="s">
        <v>1436</v>
      </c>
      <c r="G1066" t="s">
        <v>1585</v>
      </c>
      <c r="H1066" t="s">
        <v>1592</v>
      </c>
      <c r="I1066">
        <v>5679</v>
      </c>
      <c r="J1066">
        <v>93</v>
      </c>
      <c r="K1066" t="s">
        <v>1594</v>
      </c>
      <c r="L1066" t="s">
        <v>1599</v>
      </c>
      <c r="M1066" t="str">
        <f>IF(Table1[[#This Row],[Quantity]]&gt;2,"Bulk Order","Normal Order")</f>
        <v>Bulk Order</v>
      </c>
      <c r="N1066" t="str">
        <f>_xlfn.CONCAT(Table1[[#This Row],[Category]],"-",Table1[[#This Row],[City]])</f>
        <v>Accessories-Kolkata</v>
      </c>
      <c r="O1066" t="str">
        <f>LEFT(Table1[[#This Row],[Category]],3)</f>
        <v>Acc</v>
      </c>
      <c r="P1066" s="2"/>
    </row>
    <row r="1067" spans="1:16" x14ac:dyDescent="0.35">
      <c r="A1067" t="s">
        <v>1077</v>
      </c>
      <c r="B1067" t="s">
        <v>1214</v>
      </c>
      <c r="C1067" t="s">
        <v>1228</v>
      </c>
      <c r="D1067">
        <v>4670</v>
      </c>
      <c r="E1067">
        <v>2</v>
      </c>
      <c r="F1067" t="s">
        <v>1397</v>
      </c>
      <c r="G1067" t="s">
        <v>1586</v>
      </c>
      <c r="H1067" t="s">
        <v>1593</v>
      </c>
      <c r="I1067">
        <v>9340</v>
      </c>
      <c r="J1067">
        <v>61</v>
      </c>
      <c r="K1067" t="s">
        <v>1595</v>
      </c>
      <c r="L1067" t="s">
        <v>1598</v>
      </c>
      <c r="M1067" t="str">
        <f>IF(Table1[[#This Row],[Quantity]]&gt;2,"Bulk Order","Normal Order")</f>
        <v>Normal Order</v>
      </c>
      <c r="N1067" t="str">
        <f>_xlfn.CONCAT(Table1[[#This Row],[Category]],"-",Table1[[#This Row],[City]])</f>
        <v>Electronics-Hyderabad</v>
      </c>
      <c r="O1067" t="str">
        <f>LEFT(Table1[[#This Row],[Category]],3)</f>
        <v>Ele</v>
      </c>
      <c r="P1067" s="2"/>
    </row>
    <row r="1068" spans="1:16" x14ac:dyDescent="0.35">
      <c r="A1068" t="s">
        <v>1078</v>
      </c>
      <c r="B1068" t="s">
        <v>1218</v>
      </c>
      <c r="C1068" t="s">
        <v>1226</v>
      </c>
      <c r="D1068">
        <v>237</v>
      </c>
      <c r="E1068">
        <v>4</v>
      </c>
      <c r="F1068" t="s">
        <v>1275</v>
      </c>
      <c r="G1068" t="s">
        <v>1586</v>
      </c>
      <c r="H1068" t="s">
        <v>1592</v>
      </c>
      <c r="I1068">
        <v>948</v>
      </c>
      <c r="J1068">
        <v>42</v>
      </c>
      <c r="K1068" t="s">
        <v>1595</v>
      </c>
      <c r="L1068" t="s">
        <v>1597</v>
      </c>
      <c r="M1068" t="str">
        <f>IF(Table1[[#This Row],[Quantity]]&gt;2,"Bulk Order","Normal Order")</f>
        <v>Bulk Order</v>
      </c>
      <c r="N1068" t="str">
        <f>_xlfn.CONCAT(Table1[[#This Row],[Category]],"-",Table1[[#This Row],[City]])</f>
        <v>Home-Hyderabad</v>
      </c>
      <c r="O1068" t="str">
        <f>LEFT(Table1[[#This Row],[Category]],3)</f>
        <v>Hom</v>
      </c>
      <c r="P1068" s="2"/>
    </row>
    <row r="1069" spans="1:16" x14ac:dyDescent="0.35">
      <c r="A1069" t="s">
        <v>1079</v>
      </c>
      <c r="B1069" t="s">
        <v>1212</v>
      </c>
      <c r="C1069" t="s">
        <v>1224</v>
      </c>
      <c r="D1069">
        <v>3615</v>
      </c>
      <c r="E1069">
        <v>2</v>
      </c>
      <c r="F1069" t="s">
        <v>1345</v>
      </c>
      <c r="G1069" t="s">
        <v>1584</v>
      </c>
      <c r="H1069" t="s">
        <v>1591</v>
      </c>
      <c r="I1069">
        <v>7230</v>
      </c>
      <c r="J1069">
        <v>47</v>
      </c>
      <c r="K1069" t="s">
        <v>1595</v>
      </c>
      <c r="L1069" t="s">
        <v>1599</v>
      </c>
      <c r="M1069" t="str">
        <f>IF(Table1[[#This Row],[Quantity]]&gt;2,"Bulk Order","Normal Order")</f>
        <v>Normal Order</v>
      </c>
      <c r="N1069" t="str">
        <f>_xlfn.CONCAT(Table1[[#This Row],[Category]],"-",Table1[[#This Row],[City]])</f>
        <v>Lifestyle-Chennai</v>
      </c>
      <c r="O1069" t="str">
        <f>LEFT(Table1[[#This Row],[Category]],3)</f>
        <v>Lif</v>
      </c>
      <c r="P1069" s="2"/>
    </row>
    <row r="1070" spans="1:16" x14ac:dyDescent="0.35">
      <c r="A1070" t="s">
        <v>1080</v>
      </c>
      <c r="B1070" t="s">
        <v>1221</v>
      </c>
      <c r="C1070" t="s">
        <v>1227</v>
      </c>
      <c r="D1070">
        <v>4064</v>
      </c>
      <c r="E1070">
        <v>2</v>
      </c>
      <c r="F1070" t="s">
        <v>1442</v>
      </c>
      <c r="G1070" t="s">
        <v>1588</v>
      </c>
      <c r="H1070" t="s">
        <v>1593</v>
      </c>
      <c r="I1070">
        <v>8128</v>
      </c>
      <c r="J1070">
        <v>93</v>
      </c>
      <c r="K1070" t="s">
        <v>1595</v>
      </c>
      <c r="L1070" t="s">
        <v>1598</v>
      </c>
      <c r="M1070" t="str">
        <f>IF(Table1[[#This Row],[Quantity]]&gt;2,"Bulk Order","Normal Order")</f>
        <v>Normal Order</v>
      </c>
      <c r="N1070" t="str">
        <f>_xlfn.CONCAT(Table1[[#This Row],[Category]],"-",Table1[[#This Row],[City]])</f>
        <v>Accessories-Delhi</v>
      </c>
      <c r="O1070" t="str">
        <f>LEFT(Table1[[#This Row],[Category]],3)</f>
        <v>Acc</v>
      </c>
      <c r="P1070" s="2"/>
    </row>
    <row r="1071" spans="1:16" x14ac:dyDescent="0.35">
      <c r="A1071" t="s">
        <v>1081</v>
      </c>
      <c r="B1071" t="s">
        <v>1222</v>
      </c>
      <c r="C1071" t="s">
        <v>1224</v>
      </c>
      <c r="D1071">
        <v>3320</v>
      </c>
      <c r="E1071">
        <v>2</v>
      </c>
      <c r="F1071" t="s">
        <v>1366</v>
      </c>
      <c r="G1071" t="s">
        <v>1589</v>
      </c>
      <c r="H1071" t="s">
        <v>1592</v>
      </c>
      <c r="I1071">
        <v>6640</v>
      </c>
      <c r="J1071">
        <v>20</v>
      </c>
      <c r="K1071" t="s">
        <v>1595</v>
      </c>
      <c r="L1071" t="s">
        <v>1599</v>
      </c>
      <c r="M1071" t="str">
        <f>IF(Table1[[#This Row],[Quantity]]&gt;2,"Bulk Order","Normal Order")</f>
        <v>Normal Order</v>
      </c>
      <c r="N1071" t="str">
        <f>_xlfn.CONCAT(Table1[[#This Row],[Category]],"-",Table1[[#This Row],[City]])</f>
        <v>Lifestyle-Bangalore</v>
      </c>
      <c r="O1071" t="str">
        <f>LEFT(Table1[[#This Row],[Category]],3)</f>
        <v>Lif</v>
      </c>
      <c r="P1071" s="2"/>
    </row>
    <row r="1072" spans="1:16" x14ac:dyDescent="0.35">
      <c r="A1072" t="s">
        <v>1082</v>
      </c>
      <c r="B1072" t="s">
        <v>1212</v>
      </c>
      <c r="C1072" t="s">
        <v>1226</v>
      </c>
      <c r="D1072">
        <v>1004</v>
      </c>
      <c r="E1072">
        <v>2</v>
      </c>
      <c r="F1072" t="s">
        <v>1535</v>
      </c>
      <c r="G1072" t="s">
        <v>1588</v>
      </c>
      <c r="H1072" t="s">
        <v>1593</v>
      </c>
      <c r="I1072">
        <v>2008</v>
      </c>
      <c r="J1072">
        <v>38</v>
      </c>
      <c r="K1072" t="s">
        <v>1596</v>
      </c>
      <c r="L1072" t="s">
        <v>1599</v>
      </c>
      <c r="M1072" t="str">
        <f>IF(Table1[[#This Row],[Quantity]]&gt;2,"Bulk Order","Normal Order")</f>
        <v>Normal Order</v>
      </c>
      <c r="N1072" t="str">
        <f>_xlfn.CONCAT(Table1[[#This Row],[Category]],"-",Table1[[#This Row],[City]])</f>
        <v>Home-Delhi</v>
      </c>
      <c r="O1072" t="str">
        <f>LEFT(Table1[[#This Row],[Category]],3)</f>
        <v>Hom</v>
      </c>
      <c r="P1072" s="2"/>
    </row>
    <row r="1073" spans="1:16" x14ac:dyDescent="0.35">
      <c r="A1073" t="s">
        <v>1083</v>
      </c>
      <c r="B1073" t="s">
        <v>1222</v>
      </c>
      <c r="C1073" t="s">
        <v>1224</v>
      </c>
      <c r="D1073">
        <v>2485</v>
      </c>
      <c r="E1073">
        <v>2</v>
      </c>
      <c r="F1073" t="s">
        <v>1417</v>
      </c>
      <c r="G1073" t="s">
        <v>1588</v>
      </c>
      <c r="H1073" t="s">
        <v>1590</v>
      </c>
      <c r="I1073">
        <v>4970</v>
      </c>
      <c r="J1073">
        <v>86</v>
      </c>
      <c r="K1073" t="s">
        <v>1594</v>
      </c>
      <c r="L1073" t="s">
        <v>1598</v>
      </c>
      <c r="M1073" t="str">
        <f>IF(Table1[[#This Row],[Quantity]]&gt;2,"Bulk Order","Normal Order")</f>
        <v>Normal Order</v>
      </c>
      <c r="N1073" t="str">
        <f>_xlfn.CONCAT(Table1[[#This Row],[Category]],"-",Table1[[#This Row],[City]])</f>
        <v>Lifestyle-Delhi</v>
      </c>
      <c r="O1073" t="str">
        <f>LEFT(Table1[[#This Row],[Category]],3)</f>
        <v>Lif</v>
      </c>
      <c r="P1073" s="2"/>
    </row>
    <row r="1074" spans="1:16" x14ac:dyDescent="0.35">
      <c r="A1074" t="s">
        <v>1084</v>
      </c>
      <c r="B1074" t="s">
        <v>1220</v>
      </c>
      <c r="C1074" t="s">
        <v>1227</v>
      </c>
      <c r="D1074">
        <v>3486</v>
      </c>
      <c r="E1074">
        <v>4</v>
      </c>
      <c r="F1074" t="s">
        <v>1279</v>
      </c>
      <c r="G1074" t="s">
        <v>1588</v>
      </c>
      <c r="H1074" t="s">
        <v>1592</v>
      </c>
      <c r="I1074">
        <v>13944</v>
      </c>
      <c r="J1074">
        <v>60</v>
      </c>
      <c r="K1074" t="s">
        <v>1594</v>
      </c>
      <c r="L1074" t="s">
        <v>1599</v>
      </c>
      <c r="M1074" t="str">
        <f>IF(Table1[[#This Row],[Quantity]]&gt;2,"Bulk Order","Normal Order")</f>
        <v>Bulk Order</v>
      </c>
      <c r="N1074" t="str">
        <f>_xlfn.CONCAT(Table1[[#This Row],[Category]],"-",Table1[[#This Row],[City]])</f>
        <v>Accessories-Delhi</v>
      </c>
      <c r="O1074" t="str">
        <f>LEFT(Table1[[#This Row],[Category]],3)</f>
        <v>Acc</v>
      </c>
      <c r="P1074" s="2"/>
    </row>
    <row r="1075" spans="1:16" x14ac:dyDescent="0.35">
      <c r="A1075" t="s">
        <v>1085</v>
      </c>
      <c r="B1075" t="s">
        <v>1213</v>
      </c>
      <c r="C1075" t="s">
        <v>1227</v>
      </c>
      <c r="D1075">
        <v>3580</v>
      </c>
      <c r="E1075">
        <v>2</v>
      </c>
      <c r="F1075" t="s">
        <v>1319</v>
      </c>
      <c r="G1075" t="s">
        <v>1584</v>
      </c>
      <c r="H1075" t="s">
        <v>1593</v>
      </c>
      <c r="I1075">
        <v>7160</v>
      </c>
      <c r="J1075">
        <v>95</v>
      </c>
      <c r="K1075" t="s">
        <v>1594</v>
      </c>
      <c r="L1075" t="s">
        <v>1599</v>
      </c>
      <c r="M1075" t="str">
        <f>IF(Table1[[#This Row],[Quantity]]&gt;2,"Bulk Order","Normal Order")</f>
        <v>Normal Order</v>
      </c>
      <c r="N1075" t="str">
        <f>_xlfn.CONCAT(Table1[[#This Row],[Category]],"-",Table1[[#This Row],[City]])</f>
        <v>Accessories-Chennai</v>
      </c>
      <c r="O1075" t="str">
        <f>LEFT(Table1[[#This Row],[Category]],3)</f>
        <v>Acc</v>
      </c>
      <c r="P1075" s="2"/>
    </row>
    <row r="1076" spans="1:16" x14ac:dyDescent="0.35">
      <c r="A1076" t="s">
        <v>1086</v>
      </c>
      <c r="B1076" t="s">
        <v>1223</v>
      </c>
      <c r="C1076" t="s">
        <v>1224</v>
      </c>
      <c r="D1076">
        <v>1082</v>
      </c>
      <c r="E1076">
        <v>2</v>
      </c>
      <c r="F1076" t="s">
        <v>1578</v>
      </c>
      <c r="G1076" t="s">
        <v>1588</v>
      </c>
      <c r="H1076" t="s">
        <v>1592</v>
      </c>
      <c r="I1076">
        <v>2164</v>
      </c>
      <c r="J1076">
        <v>96</v>
      </c>
      <c r="K1076" t="s">
        <v>1595</v>
      </c>
      <c r="L1076" t="s">
        <v>1597</v>
      </c>
      <c r="M1076" t="str">
        <f>IF(Table1[[#This Row],[Quantity]]&gt;2,"Bulk Order","Normal Order")</f>
        <v>Normal Order</v>
      </c>
      <c r="N1076" t="str">
        <f>_xlfn.CONCAT(Table1[[#This Row],[Category]],"-",Table1[[#This Row],[City]])</f>
        <v>Lifestyle-Delhi</v>
      </c>
      <c r="O1076" t="str">
        <f>LEFT(Table1[[#This Row],[Category]],3)</f>
        <v>Lif</v>
      </c>
      <c r="P1076" s="2"/>
    </row>
    <row r="1077" spans="1:16" x14ac:dyDescent="0.35">
      <c r="A1077" t="s">
        <v>1087</v>
      </c>
      <c r="B1077" t="s">
        <v>1214</v>
      </c>
      <c r="C1077" t="s">
        <v>1225</v>
      </c>
      <c r="D1077">
        <v>3890</v>
      </c>
      <c r="E1077">
        <v>1</v>
      </c>
      <c r="F1077" t="s">
        <v>1536</v>
      </c>
      <c r="G1077" t="s">
        <v>1585</v>
      </c>
      <c r="H1077" t="s">
        <v>1591</v>
      </c>
      <c r="I1077">
        <v>3890</v>
      </c>
      <c r="J1077">
        <v>59</v>
      </c>
      <c r="K1077" t="s">
        <v>1594</v>
      </c>
      <c r="L1077" t="s">
        <v>1599</v>
      </c>
      <c r="M1077" t="str">
        <f>IF(Table1[[#This Row],[Quantity]]&gt;2,"Bulk Order","Normal Order")</f>
        <v>Normal Order</v>
      </c>
      <c r="N1077" t="str">
        <f>_xlfn.CONCAT(Table1[[#This Row],[Category]],"-",Table1[[#This Row],[City]])</f>
        <v>Fitness-Kolkata</v>
      </c>
      <c r="O1077" t="str">
        <f>LEFT(Table1[[#This Row],[Category]],3)</f>
        <v>Fit</v>
      </c>
      <c r="P1077" s="2"/>
    </row>
    <row r="1078" spans="1:16" x14ac:dyDescent="0.35">
      <c r="A1078" t="s">
        <v>1088</v>
      </c>
      <c r="B1078" t="s">
        <v>1221</v>
      </c>
      <c r="C1078" t="s">
        <v>1228</v>
      </c>
      <c r="D1078">
        <v>2824</v>
      </c>
      <c r="E1078">
        <v>3</v>
      </c>
      <c r="F1078" t="s">
        <v>1256</v>
      </c>
      <c r="G1078" t="s">
        <v>1584</v>
      </c>
      <c r="H1078" t="s">
        <v>1592</v>
      </c>
      <c r="I1078">
        <v>8472</v>
      </c>
      <c r="J1078">
        <v>30</v>
      </c>
      <c r="K1078" t="s">
        <v>1595</v>
      </c>
      <c r="L1078" t="s">
        <v>1598</v>
      </c>
      <c r="M1078" t="str">
        <f>IF(Table1[[#This Row],[Quantity]]&gt;2,"Bulk Order","Normal Order")</f>
        <v>Bulk Order</v>
      </c>
      <c r="N1078" t="str">
        <f>_xlfn.CONCAT(Table1[[#This Row],[Category]],"-",Table1[[#This Row],[City]])</f>
        <v>Electronics-Chennai</v>
      </c>
      <c r="O1078" t="str">
        <f>LEFT(Table1[[#This Row],[Category]],3)</f>
        <v>Ele</v>
      </c>
      <c r="P1078" s="2"/>
    </row>
    <row r="1079" spans="1:16" x14ac:dyDescent="0.35">
      <c r="A1079" t="s">
        <v>1089</v>
      </c>
      <c r="B1079" t="s">
        <v>1221</v>
      </c>
      <c r="C1079" t="s">
        <v>1226</v>
      </c>
      <c r="D1079">
        <v>4951</v>
      </c>
      <c r="E1079">
        <v>2</v>
      </c>
      <c r="F1079" t="s">
        <v>1537</v>
      </c>
      <c r="G1079" t="s">
        <v>1585</v>
      </c>
      <c r="H1079" t="s">
        <v>1593</v>
      </c>
      <c r="I1079">
        <v>9902</v>
      </c>
      <c r="J1079">
        <v>97</v>
      </c>
      <c r="K1079" t="s">
        <v>1595</v>
      </c>
      <c r="L1079" t="s">
        <v>1599</v>
      </c>
      <c r="M1079" t="str">
        <f>IF(Table1[[#This Row],[Quantity]]&gt;2,"Bulk Order","Normal Order")</f>
        <v>Normal Order</v>
      </c>
      <c r="N1079" t="str">
        <f>_xlfn.CONCAT(Table1[[#This Row],[Category]],"-",Table1[[#This Row],[City]])</f>
        <v>Home-Kolkata</v>
      </c>
      <c r="O1079" t="str">
        <f>LEFT(Table1[[#This Row],[Category]],3)</f>
        <v>Hom</v>
      </c>
      <c r="P1079" s="2"/>
    </row>
    <row r="1080" spans="1:16" x14ac:dyDescent="0.35">
      <c r="A1080" t="s">
        <v>1090</v>
      </c>
      <c r="B1080" t="s">
        <v>1213</v>
      </c>
      <c r="C1080" t="s">
        <v>1224</v>
      </c>
      <c r="D1080">
        <v>1487</v>
      </c>
      <c r="E1080">
        <v>4</v>
      </c>
      <c r="F1080" t="s">
        <v>1376</v>
      </c>
      <c r="G1080" t="s">
        <v>1585</v>
      </c>
      <c r="H1080" t="s">
        <v>1592</v>
      </c>
      <c r="I1080">
        <v>5948</v>
      </c>
      <c r="J1080">
        <v>75</v>
      </c>
      <c r="K1080" t="s">
        <v>1594</v>
      </c>
      <c r="L1080" t="s">
        <v>1598</v>
      </c>
      <c r="M1080" t="str">
        <f>IF(Table1[[#This Row],[Quantity]]&gt;2,"Bulk Order","Normal Order")</f>
        <v>Bulk Order</v>
      </c>
      <c r="N1080" t="str">
        <f>_xlfn.CONCAT(Table1[[#This Row],[Category]],"-",Table1[[#This Row],[City]])</f>
        <v>Lifestyle-Kolkata</v>
      </c>
      <c r="O1080" t="str">
        <f>LEFT(Table1[[#This Row],[Category]],3)</f>
        <v>Lif</v>
      </c>
      <c r="P1080" s="2"/>
    </row>
    <row r="1081" spans="1:16" x14ac:dyDescent="0.35">
      <c r="A1081" t="s">
        <v>1091</v>
      </c>
      <c r="B1081" t="s">
        <v>1215</v>
      </c>
      <c r="C1081" t="s">
        <v>1226</v>
      </c>
      <c r="D1081">
        <v>4885</v>
      </c>
      <c r="E1081">
        <v>3</v>
      </c>
      <c r="F1081" t="s">
        <v>1317</v>
      </c>
      <c r="G1081" t="s">
        <v>1586</v>
      </c>
      <c r="H1081" t="s">
        <v>1590</v>
      </c>
      <c r="I1081">
        <v>14655</v>
      </c>
      <c r="J1081">
        <v>66</v>
      </c>
      <c r="K1081" t="s">
        <v>1595</v>
      </c>
      <c r="L1081" t="s">
        <v>1599</v>
      </c>
      <c r="M1081" t="str">
        <f>IF(Table1[[#This Row],[Quantity]]&gt;2,"Bulk Order","Normal Order")</f>
        <v>Bulk Order</v>
      </c>
      <c r="N1081" t="str">
        <f>_xlfn.CONCAT(Table1[[#This Row],[Category]],"-",Table1[[#This Row],[City]])</f>
        <v>Home-Hyderabad</v>
      </c>
      <c r="O1081" t="str">
        <f>LEFT(Table1[[#This Row],[Category]],3)</f>
        <v>Hom</v>
      </c>
      <c r="P1081" s="2"/>
    </row>
    <row r="1082" spans="1:16" x14ac:dyDescent="0.35">
      <c r="A1082" t="s">
        <v>1092</v>
      </c>
      <c r="B1082" t="s">
        <v>1216</v>
      </c>
      <c r="C1082" t="s">
        <v>1225</v>
      </c>
      <c r="D1082">
        <v>4112</v>
      </c>
      <c r="E1082">
        <v>4</v>
      </c>
      <c r="F1082" t="s">
        <v>1365</v>
      </c>
      <c r="G1082" t="s">
        <v>1584</v>
      </c>
      <c r="H1082" t="s">
        <v>1592</v>
      </c>
      <c r="I1082">
        <v>16448</v>
      </c>
      <c r="J1082">
        <v>52</v>
      </c>
      <c r="K1082" t="s">
        <v>1596</v>
      </c>
      <c r="L1082" t="s">
        <v>1599</v>
      </c>
      <c r="M1082" t="str">
        <f>IF(Table1[[#This Row],[Quantity]]&gt;2,"Bulk Order","Normal Order")</f>
        <v>Bulk Order</v>
      </c>
      <c r="N1082" t="str">
        <f>_xlfn.CONCAT(Table1[[#This Row],[Category]],"-",Table1[[#This Row],[City]])</f>
        <v>Fitness-Chennai</v>
      </c>
      <c r="O1082" t="str">
        <f>LEFT(Table1[[#This Row],[Category]],3)</f>
        <v>Fit</v>
      </c>
      <c r="P1082" s="2"/>
    </row>
    <row r="1083" spans="1:16" x14ac:dyDescent="0.35">
      <c r="A1083" t="s">
        <v>1093</v>
      </c>
      <c r="B1083" t="s">
        <v>1218</v>
      </c>
      <c r="C1083" t="s">
        <v>1228</v>
      </c>
      <c r="D1083">
        <v>3282</v>
      </c>
      <c r="E1083">
        <v>4</v>
      </c>
      <c r="F1083" t="s">
        <v>1421</v>
      </c>
      <c r="G1083" t="s">
        <v>1587</v>
      </c>
      <c r="H1083" t="s">
        <v>1590</v>
      </c>
      <c r="I1083">
        <v>13128</v>
      </c>
      <c r="J1083">
        <v>43</v>
      </c>
      <c r="K1083" t="s">
        <v>1595</v>
      </c>
      <c r="L1083" t="s">
        <v>1598</v>
      </c>
      <c r="M1083" t="str">
        <f>IF(Table1[[#This Row],[Quantity]]&gt;2,"Bulk Order","Normal Order")</f>
        <v>Bulk Order</v>
      </c>
      <c r="N1083" t="str">
        <f>_xlfn.CONCAT(Table1[[#This Row],[Category]],"-",Table1[[#This Row],[City]])</f>
        <v>Electronics-Mumbai</v>
      </c>
      <c r="O1083" t="str">
        <f>LEFT(Table1[[#This Row],[Category]],3)</f>
        <v>Ele</v>
      </c>
      <c r="P1083" s="2"/>
    </row>
    <row r="1084" spans="1:16" x14ac:dyDescent="0.35">
      <c r="A1084" t="s">
        <v>1094</v>
      </c>
      <c r="B1084" t="s">
        <v>1220</v>
      </c>
      <c r="C1084" t="s">
        <v>1225</v>
      </c>
      <c r="D1084">
        <v>1988</v>
      </c>
      <c r="E1084">
        <v>4</v>
      </c>
      <c r="F1084" t="s">
        <v>1391</v>
      </c>
      <c r="G1084" t="s">
        <v>1585</v>
      </c>
      <c r="H1084" t="s">
        <v>1593</v>
      </c>
      <c r="I1084">
        <v>7952</v>
      </c>
      <c r="J1084">
        <v>57</v>
      </c>
      <c r="K1084" t="s">
        <v>1594</v>
      </c>
      <c r="L1084" t="s">
        <v>1599</v>
      </c>
      <c r="M1084" t="str">
        <f>IF(Table1[[#This Row],[Quantity]]&gt;2,"Bulk Order","Normal Order")</f>
        <v>Bulk Order</v>
      </c>
      <c r="N1084" t="str">
        <f>_xlfn.CONCAT(Table1[[#This Row],[Category]],"-",Table1[[#This Row],[City]])</f>
        <v>Fitness-Kolkata</v>
      </c>
      <c r="O1084" t="str">
        <f>LEFT(Table1[[#This Row],[Category]],3)</f>
        <v>Fit</v>
      </c>
      <c r="P1084" s="2"/>
    </row>
    <row r="1085" spans="1:16" x14ac:dyDescent="0.35">
      <c r="A1085" t="s">
        <v>1095</v>
      </c>
      <c r="B1085" t="s">
        <v>1212</v>
      </c>
      <c r="C1085" t="s">
        <v>1227</v>
      </c>
      <c r="D1085">
        <v>4601</v>
      </c>
      <c r="E1085">
        <v>1</v>
      </c>
      <c r="F1085" t="s">
        <v>1260</v>
      </c>
      <c r="G1085" t="s">
        <v>1586</v>
      </c>
      <c r="H1085" t="s">
        <v>1591</v>
      </c>
      <c r="I1085">
        <v>4601</v>
      </c>
      <c r="J1085">
        <v>56</v>
      </c>
      <c r="K1085" t="s">
        <v>1595</v>
      </c>
      <c r="L1085" t="s">
        <v>1599</v>
      </c>
      <c r="M1085" t="str">
        <f>IF(Table1[[#This Row],[Quantity]]&gt;2,"Bulk Order","Normal Order")</f>
        <v>Normal Order</v>
      </c>
      <c r="N1085" t="str">
        <f>_xlfn.CONCAT(Table1[[#This Row],[Category]],"-",Table1[[#This Row],[City]])</f>
        <v>Accessories-Hyderabad</v>
      </c>
      <c r="O1085" t="str">
        <f>LEFT(Table1[[#This Row],[Category]],3)</f>
        <v>Acc</v>
      </c>
      <c r="P1085" s="2"/>
    </row>
    <row r="1086" spans="1:16" x14ac:dyDescent="0.35">
      <c r="A1086" t="s">
        <v>1096</v>
      </c>
      <c r="B1086" t="s">
        <v>1220</v>
      </c>
      <c r="C1086" t="s">
        <v>1228</v>
      </c>
      <c r="D1086">
        <v>3171</v>
      </c>
      <c r="E1086">
        <v>4</v>
      </c>
      <c r="F1086" t="s">
        <v>1535</v>
      </c>
      <c r="G1086" t="s">
        <v>1585</v>
      </c>
      <c r="H1086" t="s">
        <v>1591</v>
      </c>
      <c r="I1086">
        <v>12684</v>
      </c>
      <c r="J1086">
        <v>65</v>
      </c>
      <c r="K1086" t="s">
        <v>1596</v>
      </c>
      <c r="L1086" t="s">
        <v>1598</v>
      </c>
      <c r="M1086" t="str">
        <f>IF(Table1[[#This Row],[Quantity]]&gt;2,"Bulk Order","Normal Order")</f>
        <v>Bulk Order</v>
      </c>
      <c r="N1086" t="str">
        <f>_xlfn.CONCAT(Table1[[#This Row],[Category]],"-",Table1[[#This Row],[City]])</f>
        <v>Electronics-Kolkata</v>
      </c>
      <c r="O1086" t="str">
        <f>LEFT(Table1[[#This Row],[Category]],3)</f>
        <v>Ele</v>
      </c>
      <c r="P1086" s="2"/>
    </row>
    <row r="1087" spans="1:16" x14ac:dyDescent="0.35">
      <c r="A1087" t="s">
        <v>1097</v>
      </c>
      <c r="B1087" t="s">
        <v>1223</v>
      </c>
      <c r="C1087" t="s">
        <v>1227</v>
      </c>
      <c r="D1087">
        <v>3100</v>
      </c>
      <c r="E1087">
        <v>3</v>
      </c>
      <c r="F1087" t="s">
        <v>1290</v>
      </c>
      <c r="G1087" t="s">
        <v>1584</v>
      </c>
      <c r="H1087" t="s">
        <v>1590</v>
      </c>
      <c r="I1087">
        <v>9300</v>
      </c>
      <c r="J1087">
        <v>52</v>
      </c>
      <c r="K1087" t="s">
        <v>1596</v>
      </c>
      <c r="L1087" t="s">
        <v>1598</v>
      </c>
      <c r="M1087" t="str">
        <f>IF(Table1[[#This Row],[Quantity]]&gt;2,"Bulk Order","Normal Order")</f>
        <v>Bulk Order</v>
      </c>
      <c r="N1087" t="str">
        <f>_xlfn.CONCAT(Table1[[#This Row],[Category]],"-",Table1[[#This Row],[City]])</f>
        <v>Accessories-Chennai</v>
      </c>
      <c r="O1087" t="str">
        <f>LEFT(Table1[[#This Row],[Category]],3)</f>
        <v>Acc</v>
      </c>
      <c r="P1087" s="2"/>
    </row>
    <row r="1088" spans="1:16" x14ac:dyDescent="0.35">
      <c r="A1088" t="s">
        <v>1098</v>
      </c>
      <c r="B1088" t="s">
        <v>1212</v>
      </c>
      <c r="C1088" t="s">
        <v>1227</v>
      </c>
      <c r="D1088">
        <v>2418</v>
      </c>
      <c r="E1088">
        <v>1</v>
      </c>
      <c r="F1088" t="s">
        <v>1474</v>
      </c>
      <c r="G1088" t="s">
        <v>1586</v>
      </c>
      <c r="H1088" t="s">
        <v>1591</v>
      </c>
      <c r="I1088">
        <v>2418</v>
      </c>
      <c r="J1088">
        <v>88</v>
      </c>
      <c r="K1088" t="s">
        <v>1595</v>
      </c>
      <c r="L1088" t="s">
        <v>1597</v>
      </c>
      <c r="M1088" t="str">
        <f>IF(Table1[[#This Row],[Quantity]]&gt;2,"Bulk Order","Normal Order")</f>
        <v>Normal Order</v>
      </c>
      <c r="N1088" t="str">
        <f>_xlfn.CONCAT(Table1[[#This Row],[Category]],"-",Table1[[#This Row],[City]])</f>
        <v>Accessories-Hyderabad</v>
      </c>
      <c r="O1088" t="str">
        <f>LEFT(Table1[[#This Row],[Category]],3)</f>
        <v>Acc</v>
      </c>
      <c r="P1088" s="2"/>
    </row>
    <row r="1089" spans="1:16" x14ac:dyDescent="0.35">
      <c r="A1089" t="s">
        <v>1099</v>
      </c>
      <c r="B1089" t="s">
        <v>1222</v>
      </c>
      <c r="C1089" t="s">
        <v>1228</v>
      </c>
      <c r="D1089">
        <v>917</v>
      </c>
      <c r="E1089">
        <v>1</v>
      </c>
      <c r="F1089" t="s">
        <v>1283</v>
      </c>
      <c r="G1089" t="s">
        <v>1588</v>
      </c>
      <c r="H1089" t="s">
        <v>1592</v>
      </c>
      <c r="I1089">
        <v>917</v>
      </c>
      <c r="J1089">
        <v>39</v>
      </c>
      <c r="K1089" t="s">
        <v>1596</v>
      </c>
      <c r="L1089" t="s">
        <v>1599</v>
      </c>
      <c r="M1089" t="str">
        <f>IF(Table1[[#This Row],[Quantity]]&gt;2,"Bulk Order","Normal Order")</f>
        <v>Normal Order</v>
      </c>
      <c r="N1089" t="str">
        <f>_xlfn.CONCAT(Table1[[#This Row],[Category]],"-",Table1[[#This Row],[City]])</f>
        <v>Electronics-Delhi</v>
      </c>
      <c r="O1089" t="str">
        <f>LEFT(Table1[[#This Row],[Category]],3)</f>
        <v>Ele</v>
      </c>
      <c r="P1089" s="2"/>
    </row>
    <row r="1090" spans="1:16" x14ac:dyDescent="0.35">
      <c r="A1090" t="s">
        <v>1100</v>
      </c>
      <c r="B1090" t="s">
        <v>1215</v>
      </c>
      <c r="C1090" t="s">
        <v>1225</v>
      </c>
      <c r="D1090">
        <v>523</v>
      </c>
      <c r="E1090">
        <v>3</v>
      </c>
      <c r="F1090" t="s">
        <v>1436</v>
      </c>
      <c r="G1090" t="s">
        <v>1587</v>
      </c>
      <c r="H1090" t="s">
        <v>1593</v>
      </c>
      <c r="I1090">
        <v>1569</v>
      </c>
      <c r="J1090">
        <v>46</v>
      </c>
      <c r="K1090" t="s">
        <v>1595</v>
      </c>
      <c r="L1090" t="s">
        <v>1599</v>
      </c>
      <c r="M1090" t="str">
        <f>IF(Table1[[#This Row],[Quantity]]&gt;2,"Bulk Order","Normal Order")</f>
        <v>Bulk Order</v>
      </c>
      <c r="N1090" t="str">
        <f>_xlfn.CONCAT(Table1[[#This Row],[Category]],"-",Table1[[#This Row],[City]])</f>
        <v>Fitness-Mumbai</v>
      </c>
      <c r="O1090" t="str">
        <f>LEFT(Table1[[#This Row],[Category]],3)</f>
        <v>Fit</v>
      </c>
      <c r="P1090" s="2"/>
    </row>
    <row r="1091" spans="1:16" x14ac:dyDescent="0.35">
      <c r="A1091" t="s">
        <v>1101</v>
      </c>
      <c r="B1091" t="s">
        <v>1212</v>
      </c>
      <c r="C1091" t="s">
        <v>1228</v>
      </c>
      <c r="D1091">
        <v>4664</v>
      </c>
      <c r="E1091">
        <v>4</v>
      </c>
      <c r="F1091" t="s">
        <v>1431</v>
      </c>
      <c r="G1091" t="s">
        <v>1588</v>
      </c>
      <c r="H1091" t="s">
        <v>1593</v>
      </c>
      <c r="I1091">
        <v>18656</v>
      </c>
      <c r="J1091">
        <v>58</v>
      </c>
      <c r="K1091" t="s">
        <v>1595</v>
      </c>
      <c r="L1091" t="s">
        <v>1599</v>
      </c>
      <c r="M1091" t="str">
        <f>IF(Table1[[#This Row],[Quantity]]&gt;2,"Bulk Order","Normal Order")</f>
        <v>Bulk Order</v>
      </c>
      <c r="N1091" t="str">
        <f>_xlfn.CONCAT(Table1[[#This Row],[Category]],"-",Table1[[#This Row],[City]])</f>
        <v>Electronics-Delhi</v>
      </c>
      <c r="O1091" t="str">
        <f>LEFT(Table1[[#This Row],[Category]],3)</f>
        <v>Ele</v>
      </c>
      <c r="P1091" s="2"/>
    </row>
    <row r="1092" spans="1:16" x14ac:dyDescent="0.35">
      <c r="A1092" t="s">
        <v>1102</v>
      </c>
      <c r="B1092" t="s">
        <v>1212</v>
      </c>
      <c r="C1092" t="s">
        <v>1227</v>
      </c>
      <c r="D1092">
        <v>2741</v>
      </c>
      <c r="E1092">
        <v>4</v>
      </c>
      <c r="F1092" t="s">
        <v>1283</v>
      </c>
      <c r="G1092" t="s">
        <v>1588</v>
      </c>
      <c r="H1092" t="s">
        <v>1593</v>
      </c>
      <c r="I1092">
        <v>10964</v>
      </c>
      <c r="J1092">
        <v>49</v>
      </c>
      <c r="K1092" t="s">
        <v>1595</v>
      </c>
      <c r="L1092" t="s">
        <v>1597</v>
      </c>
      <c r="M1092" t="str">
        <f>IF(Table1[[#This Row],[Quantity]]&gt;2,"Bulk Order","Normal Order")</f>
        <v>Bulk Order</v>
      </c>
      <c r="N1092" t="str">
        <f>_xlfn.CONCAT(Table1[[#This Row],[Category]],"-",Table1[[#This Row],[City]])</f>
        <v>Accessories-Delhi</v>
      </c>
      <c r="O1092" t="str">
        <f>LEFT(Table1[[#This Row],[Category]],3)</f>
        <v>Acc</v>
      </c>
      <c r="P1092" s="2"/>
    </row>
    <row r="1093" spans="1:16" x14ac:dyDescent="0.35">
      <c r="A1093" t="s">
        <v>1103</v>
      </c>
      <c r="B1093" t="s">
        <v>1217</v>
      </c>
      <c r="C1093" t="s">
        <v>1225</v>
      </c>
      <c r="D1093">
        <v>2607</v>
      </c>
      <c r="E1093">
        <v>3</v>
      </c>
      <c r="F1093" t="s">
        <v>1529</v>
      </c>
      <c r="G1093" t="s">
        <v>1586</v>
      </c>
      <c r="H1093" t="s">
        <v>1590</v>
      </c>
      <c r="I1093">
        <v>7821</v>
      </c>
      <c r="J1093">
        <v>55</v>
      </c>
      <c r="K1093" t="s">
        <v>1595</v>
      </c>
      <c r="L1093" t="s">
        <v>1599</v>
      </c>
      <c r="M1093" t="str">
        <f>IF(Table1[[#This Row],[Quantity]]&gt;2,"Bulk Order","Normal Order")</f>
        <v>Bulk Order</v>
      </c>
      <c r="N1093" t="str">
        <f>_xlfn.CONCAT(Table1[[#This Row],[Category]],"-",Table1[[#This Row],[City]])</f>
        <v>Fitness-Hyderabad</v>
      </c>
      <c r="O1093" t="str">
        <f>LEFT(Table1[[#This Row],[Category]],3)</f>
        <v>Fit</v>
      </c>
      <c r="P1093" s="2"/>
    </row>
    <row r="1094" spans="1:16" x14ac:dyDescent="0.35">
      <c r="A1094" t="s">
        <v>1104</v>
      </c>
      <c r="B1094" t="s">
        <v>1215</v>
      </c>
      <c r="C1094" t="s">
        <v>1227</v>
      </c>
      <c r="D1094">
        <v>375</v>
      </c>
      <c r="E1094">
        <v>2</v>
      </c>
      <c r="F1094" t="s">
        <v>1521</v>
      </c>
      <c r="G1094" t="s">
        <v>1585</v>
      </c>
      <c r="H1094" t="s">
        <v>1592</v>
      </c>
      <c r="I1094">
        <v>750</v>
      </c>
      <c r="J1094">
        <v>34</v>
      </c>
      <c r="K1094" t="s">
        <v>1595</v>
      </c>
      <c r="L1094" t="s">
        <v>1598</v>
      </c>
      <c r="M1094" t="str">
        <f>IF(Table1[[#This Row],[Quantity]]&gt;2,"Bulk Order","Normal Order")</f>
        <v>Normal Order</v>
      </c>
      <c r="N1094" t="str">
        <f>_xlfn.CONCAT(Table1[[#This Row],[Category]],"-",Table1[[#This Row],[City]])</f>
        <v>Accessories-Kolkata</v>
      </c>
      <c r="O1094" t="str">
        <f>LEFT(Table1[[#This Row],[Category]],3)</f>
        <v>Acc</v>
      </c>
      <c r="P1094" s="2"/>
    </row>
    <row r="1095" spans="1:16" x14ac:dyDescent="0.35">
      <c r="A1095" t="s">
        <v>1105</v>
      </c>
      <c r="B1095" t="s">
        <v>1221</v>
      </c>
      <c r="C1095" t="s">
        <v>1224</v>
      </c>
      <c r="D1095">
        <v>4814</v>
      </c>
      <c r="E1095">
        <v>2</v>
      </c>
      <c r="F1095" t="s">
        <v>1493</v>
      </c>
      <c r="G1095" t="s">
        <v>1586</v>
      </c>
      <c r="H1095" t="s">
        <v>1591</v>
      </c>
      <c r="I1095">
        <v>9628</v>
      </c>
      <c r="J1095">
        <v>49</v>
      </c>
      <c r="K1095" t="s">
        <v>1596</v>
      </c>
      <c r="L1095" t="s">
        <v>1597</v>
      </c>
      <c r="M1095" t="str">
        <f>IF(Table1[[#This Row],[Quantity]]&gt;2,"Bulk Order","Normal Order")</f>
        <v>Normal Order</v>
      </c>
      <c r="N1095" t="str">
        <f>_xlfn.CONCAT(Table1[[#This Row],[Category]],"-",Table1[[#This Row],[City]])</f>
        <v>Lifestyle-Hyderabad</v>
      </c>
      <c r="O1095" t="str">
        <f>LEFT(Table1[[#This Row],[Category]],3)</f>
        <v>Lif</v>
      </c>
      <c r="P1095" s="2"/>
    </row>
    <row r="1096" spans="1:16" x14ac:dyDescent="0.35">
      <c r="A1096" t="s">
        <v>1106</v>
      </c>
      <c r="B1096" t="s">
        <v>1219</v>
      </c>
      <c r="C1096" t="s">
        <v>1225</v>
      </c>
      <c r="D1096">
        <v>4504</v>
      </c>
      <c r="E1096">
        <v>4</v>
      </c>
      <c r="F1096" t="s">
        <v>1258</v>
      </c>
      <c r="G1096" t="s">
        <v>1588</v>
      </c>
      <c r="H1096" t="s">
        <v>1593</v>
      </c>
      <c r="I1096">
        <v>18016</v>
      </c>
      <c r="J1096">
        <v>67</v>
      </c>
      <c r="K1096" t="s">
        <v>1594</v>
      </c>
      <c r="L1096" t="s">
        <v>1599</v>
      </c>
      <c r="M1096" t="str">
        <f>IF(Table1[[#This Row],[Quantity]]&gt;2,"Bulk Order","Normal Order")</f>
        <v>Bulk Order</v>
      </c>
      <c r="N1096" t="str">
        <f>_xlfn.CONCAT(Table1[[#This Row],[Category]],"-",Table1[[#This Row],[City]])</f>
        <v>Fitness-Delhi</v>
      </c>
      <c r="O1096" t="str">
        <f>LEFT(Table1[[#This Row],[Category]],3)</f>
        <v>Fit</v>
      </c>
      <c r="P1096" s="2"/>
    </row>
    <row r="1097" spans="1:16" x14ac:dyDescent="0.35">
      <c r="A1097" t="s">
        <v>1107</v>
      </c>
      <c r="B1097" t="s">
        <v>1213</v>
      </c>
      <c r="C1097" t="s">
        <v>1226</v>
      </c>
      <c r="D1097">
        <v>4437</v>
      </c>
      <c r="E1097">
        <v>1</v>
      </c>
      <c r="F1097" t="s">
        <v>1429</v>
      </c>
      <c r="G1097" t="s">
        <v>1589</v>
      </c>
      <c r="H1097" t="s">
        <v>1591</v>
      </c>
      <c r="I1097">
        <v>4437</v>
      </c>
      <c r="J1097">
        <v>27</v>
      </c>
      <c r="K1097" t="s">
        <v>1595</v>
      </c>
      <c r="L1097" t="s">
        <v>1599</v>
      </c>
      <c r="M1097" t="str">
        <f>IF(Table1[[#This Row],[Quantity]]&gt;2,"Bulk Order","Normal Order")</f>
        <v>Normal Order</v>
      </c>
      <c r="N1097" t="str">
        <f>_xlfn.CONCAT(Table1[[#This Row],[Category]],"-",Table1[[#This Row],[City]])</f>
        <v>Home-Bangalore</v>
      </c>
      <c r="O1097" t="str">
        <f>LEFT(Table1[[#This Row],[Category]],3)</f>
        <v>Hom</v>
      </c>
      <c r="P1097" s="2"/>
    </row>
    <row r="1098" spans="1:16" x14ac:dyDescent="0.35">
      <c r="A1098" t="s">
        <v>1108</v>
      </c>
      <c r="B1098" t="s">
        <v>1222</v>
      </c>
      <c r="C1098" t="s">
        <v>1228</v>
      </c>
      <c r="D1098">
        <v>3194</v>
      </c>
      <c r="E1098">
        <v>1</v>
      </c>
      <c r="F1098" t="s">
        <v>1562</v>
      </c>
      <c r="G1098" t="s">
        <v>1585</v>
      </c>
      <c r="H1098" t="s">
        <v>1590</v>
      </c>
      <c r="I1098">
        <v>3194</v>
      </c>
      <c r="J1098">
        <v>55</v>
      </c>
      <c r="K1098" t="s">
        <v>1595</v>
      </c>
      <c r="L1098" t="s">
        <v>1599</v>
      </c>
      <c r="M1098" t="str">
        <f>IF(Table1[[#This Row],[Quantity]]&gt;2,"Bulk Order","Normal Order")</f>
        <v>Normal Order</v>
      </c>
      <c r="N1098" t="str">
        <f>_xlfn.CONCAT(Table1[[#This Row],[Category]],"-",Table1[[#This Row],[City]])</f>
        <v>Electronics-Kolkata</v>
      </c>
      <c r="O1098" t="str">
        <f>LEFT(Table1[[#This Row],[Category]],3)</f>
        <v>Ele</v>
      </c>
      <c r="P1098" s="2"/>
    </row>
    <row r="1099" spans="1:16" x14ac:dyDescent="0.35">
      <c r="A1099" t="s">
        <v>1109</v>
      </c>
      <c r="B1099" t="s">
        <v>1220</v>
      </c>
      <c r="C1099" t="s">
        <v>1228</v>
      </c>
      <c r="D1099">
        <v>3584</v>
      </c>
      <c r="E1099">
        <v>3</v>
      </c>
      <c r="F1099" t="s">
        <v>1325</v>
      </c>
      <c r="G1099" t="s">
        <v>1584</v>
      </c>
      <c r="H1099" t="s">
        <v>1593</v>
      </c>
      <c r="I1099">
        <v>10752</v>
      </c>
      <c r="J1099">
        <v>60</v>
      </c>
      <c r="K1099" t="s">
        <v>1595</v>
      </c>
      <c r="L1099" t="s">
        <v>1598</v>
      </c>
      <c r="M1099" t="str">
        <f>IF(Table1[[#This Row],[Quantity]]&gt;2,"Bulk Order","Normal Order")</f>
        <v>Bulk Order</v>
      </c>
      <c r="N1099" t="str">
        <f>_xlfn.CONCAT(Table1[[#This Row],[Category]],"-",Table1[[#This Row],[City]])</f>
        <v>Electronics-Chennai</v>
      </c>
      <c r="O1099" t="str">
        <f>LEFT(Table1[[#This Row],[Category]],3)</f>
        <v>Ele</v>
      </c>
      <c r="P1099" s="2"/>
    </row>
    <row r="1100" spans="1:16" x14ac:dyDescent="0.35">
      <c r="A1100" t="s">
        <v>1110</v>
      </c>
      <c r="B1100" t="s">
        <v>1218</v>
      </c>
      <c r="C1100" t="s">
        <v>1224</v>
      </c>
      <c r="D1100">
        <v>2067</v>
      </c>
      <c r="E1100">
        <v>4</v>
      </c>
      <c r="F1100" t="s">
        <v>1292</v>
      </c>
      <c r="G1100" t="s">
        <v>1587</v>
      </c>
      <c r="H1100" t="s">
        <v>1592</v>
      </c>
      <c r="I1100">
        <v>8268</v>
      </c>
      <c r="J1100">
        <v>43</v>
      </c>
      <c r="K1100" t="s">
        <v>1595</v>
      </c>
      <c r="L1100" t="s">
        <v>1598</v>
      </c>
      <c r="M1100" t="str">
        <f>IF(Table1[[#This Row],[Quantity]]&gt;2,"Bulk Order","Normal Order")</f>
        <v>Bulk Order</v>
      </c>
      <c r="N1100" t="str">
        <f>_xlfn.CONCAT(Table1[[#This Row],[Category]],"-",Table1[[#This Row],[City]])</f>
        <v>Lifestyle-Mumbai</v>
      </c>
      <c r="O1100" t="str">
        <f>LEFT(Table1[[#This Row],[Category]],3)</f>
        <v>Lif</v>
      </c>
      <c r="P1100" s="2"/>
    </row>
    <row r="1101" spans="1:16" x14ac:dyDescent="0.35">
      <c r="A1101" t="s">
        <v>1111</v>
      </c>
      <c r="B1101" t="s">
        <v>1215</v>
      </c>
      <c r="C1101" t="s">
        <v>1224</v>
      </c>
      <c r="D1101">
        <v>1632</v>
      </c>
      <c r="E1101">
        <v>4</v>
      </c>
      <c r="F1101" t="s">
        <v>1340</v>
      </c>
      <c r="G1101" t="s">
        <v>1585</v>
      </c>
      <c r="H1101" t="s">
        <v>1590</v>
      </c>
      <c r="I1101">
        <v>6528</v>
      </c>
      <c r="J1101">
        <v>89</v>
      </c>
      <c r="K1101" t="s">
        <v>1594</v>
      </c>
      <c r="L1101" t="s">
        <v>1597</v>
      </c>
      <c r="M1101" t="str">
        <f>IF(Table1[[#This Row],[Quantity]]&gt;2,"Bulk Order","Normal Order")</f>
        <v>Bulk Order</v>
      </c>
      <c r="N1101" t="str">
        <f>_xlfn.CONCAT(Table1[[#This Row],[Category]],"-",Table1[[#This Row],[City]])</f>
        <v>Lifestyle-Kolkata</v>
      </c>
      <c r="O1101" t="str">
        <f>LEFT(Table1[[#This Row],[Category]],3)</f>
        <v>Lif</v>
      </c>
      <c r="P1101" s="2"/>
    </row>
    <row r="1102" spans="1:16" x14ac:dyDescent="0.35">
      <c r="A1102" t="s">
        <v>1112</v>
      </c>
      <c r="B1102" t="s">
        <v>1223</v>
      </c>
      <c r="C1102" t="s">
        <v>1225</v>
      </c>
      <c r="D1102">
        <v>4733</v>
      </c>
      <c r="E1102">
        <v>4</v>
      </c>
      <c r="F1102" t="s">
        <v>1308</v>
      </c>
      <c r="G1102" t="s">
        <v>1585</v>
      </c>
      <c r="H1102" t="s">
        <v>1591</v>
      </c>
      <c r="I1102">
        <v>18932</v>
      </c>
      <c r="J1102">
        <v>28</v>
      </c>
      <c r="K1102" t="s">
        <v>1595</v>
      </c>
      <c r="L1102" t="s">
        <v>1599</v>
      </c>
      <c r="M1102" t="str">
        <f>IF(Table1[[#This Row],[Quantity]]&gt;2,"Bulk Order","Normal Order")</f>
        <v>Bulk Order</v>
      </c>
      <c r="N1102" t="str">
        <f>_xlfn.CONCAT(Table1[[#This Row],[Category]],"-",Table1[[#This Row],[City]])</f>
        <v>Fitness-Kolkata</v>
      </c>
      <c r="O1102" t="str">
        <f>LEFT(Table1[[#This Row],[Category]],3)</f>
        <v>Fit</v>
      </c>
      <c r="P1102" s="2"/>
    </row>
    <row r="1103" spans="1:16" x14ac:dyDescent="0.35">
      <c r="A1103" t="s">
        <v>1113</v>
      </c>
      <c r="B1103" t="s">
        <v>1219</v>
      </c>
      <c r="C1103" t="s">
        <v>1227</v>
      </c>
      <c r="D1103">
        <v>4046</v>
      </c>
      <c r="E1103">
        <v>2</v>
      </c>
      <c r="F1103" t="s">
        <v>1579</v>
      </c>
      <c r="G1103" t="s">
        <v>1586</v>
      </c>
      <c r="H1103" t="s">
        <v>1592</v>
      </c>
      <c r="I1103">
        <v>8092</v>
      </c>
      <c r="J1103">
        <v>38</v>
      </c>
      <c r="K1103" t="s">
        <v>1595</v>
      </c>
      <c r="L1103" t="s">
        <v>1599</v>
      </c>
      <c r="M1103" t="str">
        <f>IF(Table1[[#This Row],[Quantity]]&gt;2,"Bulk Order","Normal Order")</f>
        <v>Normal Order</v>
      </c>
      <c r="N1103" t="str">
        <f>_xlfn.CONCAT(Table1[[#This Row],[Category]],"-",Table1[[#This Row],[City]])</f>
        <v>Accessories-Hyderabad</v>
      </c>
      <c r="O1103" t="str">
        <f>LEFT(Table1[[#This Row],[Category]],3)</f>
        <v>Acc</v>
      </c>
      <c r="P1103" s="2"/>
    </row>
    <row r="1104" spans="1:16" x14ac:dyDescent="0.35">
      <c r="A1104" t="s">
        <v>1114</v>
      </c>
      <c r="B1104" t="s">
        <v>1215</v>
      </c>
      <c r="C1104" t="s">
        <v>1228</v>
      </c>
      <c r="D1104">
        <v>1334</v>
      </c>
      <c r="E1104">
        <v>3</v>
      </c>
      <c r="F1104" t="s">
        <v>1548</v>
      </c>
      <c r="G1104" t="s">
        <v>1587</v>
      </c>
      <c r="H1104" t="s">
        <v>1593</v>
      </c>
      <c r="I1104">
        <v>4002</v>
      </c>
      <c r="J1104">
        <v>81</v>
      </c>
      <c r="K1104" t="s">
        <v>1594</v>
      </c>
      <c r="L1104" t="s">
        <v>1599</v>
      </c>
      <c r="M1104" t="str">
        <f>IF(Table1[[#This Row],[Quantity]]&gt;2,"Bulk Order","Normal Order")</f>
        <v>Bulk Order</v>
      </c>
      <c r="N1104" t="str">
        <f>_xlfn.CONCAT(Table1[[#This Row],[Category]],"-",Table1[[#This Row],[City]])</f>
        <v>Electronics-Mumbai</v>
      </c>
      <c r="O1104" t="str">
        <f>LEFT(Table1[[#This Row],[Category]],3)</f>
        <v>Ele</v>
      </c>
      <c r="P1104" s="2"/>
    </row>
    <row r="1105" spans="1:16" x14ac:dyDescent="0.35">
      <c r="A1105" t="s">
        <v>1115</v>
      </c>
      <c r="B1105" t="s">
        <v>1223</v>
      </c>
      <c r="C1105" t="s">
        <v>1225</v>
      </c>
      <c r="D1105">
        <v>1735</v>
      </c>
      <c r="E1105">
        <v>3</v>
      </c>
      <c r="F1105" t="s">
        <v>1513</v>
      </c>
      <c r="G1105" t="s">
        <v>1586</v>
      </c>
      <c r="H1105" t="s">
        <v>1590</v>
      </c>
      <c r="I1105">
        <v>5205</v>
      </c>
      <c r="J1105">
        <v>97</v>
      </c>
      <c r="K1105" t="s">
        <v>1594</v>
      </c>
      <c r="L1105" t="s">
        <v>1599</v>
      </c>
      <c r="M1105" t="str">
        <f>IF(Table1[[#This Row],[Quantity]]&gt;2,"Bulk Order","Normal Order")</f>
        <v>Bulk Order</v>
      </c>
      <c r="N1105" t="str">
        <f>_xlfn.CONCAT(Table1[[#This Row],[Category]],"-",Table1[[#This Row],[City]])</f>
        <v>Fitness-Hyderabad</v>
      </c>
      <c r="O1105" t="str">
        <f>LEFT(Table1[[#This Row],[Category]],3)</f>
        <v>Fit</v>
      </c>
      <c r="P1105" s="2"/>
    </row>
    <row r="1106" spans="1:16" x14ac:dyDescent="0.35">
      <c r="A1106" t="s">
        <v>1116</v>
      </c>
      <c r="B1106" t="s">
        <v>1218</v>
      </c>
      <c r="C1106" t="s">
        <v>1224</v>
      </c>
      <c r="D1106">
        <v>3820</v>
      </c>
      <c r="E1106">
        <v>3</v>
      </c>
      <c r="F1106" t="s">
        <v>1406</v>
      </c>
      <c r="G1106" t="s">
        <v>1584</v>
      </c>
      <c r="H1106" t="s">
        <v>1591</v>
      </c>
      <c r="I1106">
        <v>11460</v>
      </c>
      <c r="J1106">
        <v>87</v>
      </c>
      <c r="K1106" t="s">
        <v>1595</v>
      </c>
      <c r="L1106" t="s">
        <v>1599</v>
      </c>
      <c r="M1106" t="str">
        <f>IF(Table1[[#This Row],[Quantity]]&gt;2,"Bulk Order","Normal Order")</f>
        <v>Bulk Order</v>
      </c>
      <c r="N1106" t="str">
        <f>_xlfn.CONCAT(Table1[[#This Row],[Category]],"-",Table1[[#This Row],[City]])</f>
        <v>Lifestyle-Chennai</v>
      </c>
      <c r="O1106" t="str">
        <f>LEFT(Table1[[#This Row],[Category]],3)</f>
        <v>Lif</v>
      </c>
      <c r="P1106" s="2"/>
    </row>
    <row r="1107" spans="1:16" x14ac:dyDescent="0.35">
      <c r="A1107" t="s">
        <v>1117</v>
      </c>
      <c r="B1107" t="s">
        <v>1218</v>
      </c>
      <c r="C1107" t="s">
        <v>1225</v>
      </c>
      <c r="D1107">
        <v>2973</v>
      </c>
      <c r="E1107">
        <v>3</v>
      </c>
      <c r="F1107" t="s">
        <v>1484</v>
      </c>
      <c r="G1107" t="s">
        <v>1585</v>
      </c>
      <c r="H1107" t="s">
        <v>1592</v>
      </c>
      <c r="I1107">
        <v>8919</v>
      </c>
      <c r="J1107">
        <v>51</v>
      </c>
      <c r="K1107" t="s">
        <v>1594</v>
      </c>
      <c r="L1107" t="s">
        <v>1599</v>
      </c>
      <c r="M1107" t="str">
        <f>IF(Table1[[#This Row],[Quantity]]&gt;2,"Bulk Order","Normal Order")</f>
        <v>Bulk Order</v>
      </c>
      <c r="N1107" t="str">
        <f>_xlfn.CONCAT(Table1[[#This Row],[Category]],"-",Table1[[#This Row],[City]])</f>
        <v>Fitness-Kolkata</v>
      </c>
      <c r="O1107" t="str">
        <f>LEFT(Table1[[#This Row],[Category]],3)</f>
        <v>Fit</v>
      </c>
      <c r="P1107" s="2"/>
    </row>
    <row r="1108" spans="1:16" x14ac:dyDescent="0.35">
      <c r="A1108" t="s">
        <v>1118</v>
      </c>
      <c r="B1108" t="s">
        <v>1222</v>
      </c>
      <c r="C1108" t="s">
        <v>1225</v>
      </c>
      <c r="D1108">
        <v>2027</v>
      </c>
      <c r="E1108">
        <v>3</v>
      </c>
      <c r="F1108" t="s">
        <v>1537</v>
      </c>
      <c r="G1108" t="s">
        <v>1584</v>
      </c>
      <c r="H1108" t="s">
        <v>1593</v>
      </c>
      <c r="I1108">
        <v>6081</v>
      </c>
      <c r="J1108">
        <v>27</v>
      </c>
      <c r="K1108" t="s">
        <v>1595</v>
      </c>
      <c r="L1108" t="s">
        <v>1599</v>
      </c>
      <c r="M1108" t="str">
        <f>IF(Table1[[#This Row],[Quantity]]&gt;2,"Bulk Order","Normal Order")</f>
        <v>Bulk Order</v>
      </c>
      <c r="N1108" t="str">
        <f>_xlfn.CONCAT(Table1[[#This Row],[Category]],"-",Table1[[#This Row],[City]])</f>
        <v>Fitness-Chennai</v>
      </c>
      <c r="O1108" t="str">
        <f>LEFT(Table1[[#This Row],[Category]],3)</f>
        <v>Fit</v>
      </c>
      <c r="P1108" s="2"/>
    </row>
    <row r="1109" spans="1:16" x14ac:dyDescent="0.35">
      <c r="A1109" t="s">
        <v>1119</v>
      </c>
      <c r="B1109" t="s">
        <v>1217</v>
      </c>
      <c r="C1109" t="s">
        <v>1224</v>
      </c>
      <c r="D1109">
        <v>4957</v>
      </c>
      <c r="E1109">
        <v>4</v>
      </c>
      <c r="F1109" t="s">
        <v>1580</v>
      </c>
      <c r="G1109" t="s">
        <v>1586</v>
      </c>
      <c r="H1109" t="s">
        <v>1591</v>
      </c>
      <c r="I1109">
        <v>19828</v>
      </c>
      <c r="J1109">
        <v>38</v>
      </c>
      <c r="K1109" t="s">
        <v>1595</v>
      </c>
      <c r="L1109" t="s">
        <v>1597</v>
      </c>
      <c r="M1109" t="str">
        <f>IF(Table1[[#This Row],[Quantity]]&gt;2,"Bulk Order","Normal Order")</f>
        <v>Bulk Order</v>
      </c>
      <c r="N1109" t="str">
        <f>_xlfn.CONCAT(Table1[[#This Row],[Category]],"-",Table1[[#This Row],[City]])</f>
        <v>Lifestyle-Hyderabad</v>
      </c>
      <c r="O1109" t="str">
        <f>LEFT(Table1[[#This Row],[Category]],3)</f>
        <v>Lif</v>
      </c>
      <c r="P1109" s="2"/>
    </row>
    <row r="1110" spans="1:16" x14ac:dyDescent="0.35">
      <c r="A1110" t="s">
        <v>1120</v>
      </c>
      <c r="B1110" t="s">
        <v>1223</v>
      </c>
      <c r="C1110" t="s">
        <v>1225</v>
      </c>
      <c r="D1110">
        <v>4429</v>
      </c>
      <c r="E1110">
        <v>3</v>
      </c>
      <c r="F1110" t="s">
        <v>1230</v>
      </c>
      <c r="G1110" t="s">
        <v>1584</v>
      </c>
      <c r="H1110" t="s">
        <v>1590</v>
      </c>
      <c r="I1110">
        <v>13287</v>
      </c>
      <c r="J1110">
        <v>59</v>
      </c>
      <c r="K1110" t="s">
        <v>1595</v>
      </c>
      <c r="L1110" t="s">
        <v>1599</v>
      </c>
      <c r="M1110" t="str">
        <f>IF(Table1[[#This Row],[Quantity]]&gt;2,"Bulk Order","Normal Order")</f>
        <v>Bulk Order</v>
      </c>
      <c r="N1110" t="str">
        <f>_xlfn.CONCAT(Table1[[#This Row],[Category]],"-",Table1[[#This Row],[City]])</f>
        <v>Fitness-Chennai</v>
      </c>
      <c r="O1110" t="str">
        <f>LEFT(Table1[[#This Row],[Category]],3)</f>
        <v>Fit</v>
      </c>
      <c r="P1110" s="2"/>
    </row>
    <row r="1111" spans="1:16" x14ac:dyDescent="0.35">
      <c r="A1111" t="s">
        <v>1121</v>
      </c>
      <c r="B1111" t="s">
        <v>1219</v>
      </c>
      <c r="C1111" t="s">
        <v>1228</v>
      </c>
      <c r="D1111">
        <v>2094</v>
      </c>
      <c r="E1111">
        <v>1</v>
      </c>
      <c r="F1111" t="s">
        <v>1368</v>
      </c>
      <c r="G1111" t="s">
        <v>1587</v>
      </c>
      <c r="H1111" t="s">
        <v>1592</v>
      </c>
      <c r="I1111">
        <v>2094</v>
      </c>
      <c r="J1111">
        <v>46</v>
      </c>
      <c r="K1111" t="s">
        <v>1595</v>
      </c>
      <c r="L1111" t="s">
        <v>1599</v>
      </c>
      <c r="M1111" t="str">
        <f>IF(Table1[[#This Row],[Quantity]]&gt;2,"Bulk Order","Normal Order")</f>
        <v>Normal Order</v>
      </c>
      <c r="N1111" t="str">
        <f>_xlfn.CONCAT(Table1[[#This Row],[Category]],"-",Table1[[#This Row],[City]])</f>
        <v>Electronics-Mumbai</v>
      </c>
      <c r="O1111" t="str">
        <f>LEFT(Table1[[#This Row],[Category]],3)</f>
        <v>Ele</v>
      </c>
      <c r="P1111" s="2"/>
    </row>
    <row r="1112" spans="1:16" x14ac:dyDescent="0.35">
      <c r="A1112" t="s">
        <v>1122</v>
      </c>
      <c r="B1112" t="s">
        <v>1216</v>
      </c>
      <c r="C1112" t="s">
        <v>1228</v>
      </c>
      <c r="D1112">
        <v>1547</v>
      </c>
      <c r="E1112">
        <v>1</v>
      </c>
      <c r="F1112" t="s">
        <v>1262</v>
      </c>
      <c r="G1112" t="s">
        <v>1585</v>
      </c>
      <c r="H1112" t="s">
        <v>1593</v>
      </c>
      <c r="I1112">
        <v>1547</v>
      </c>
      <c r="J1112">
        <v>52</v>
      </c>
      <c r="K1112" t="s">
        <v>1594</v>
      </c>
      <c r="L1112" t="s">
        <v>1597</v>
      </c>
      <c r="M1112" t="str">
        <f>IF(Table1[[#This Row],[Quantity]]&gt;2,"Bulk Order","Normal Order")</f>
        <v>Normal Order</v>
      </c>
      <c r="N1112" t="str">
        <f>_xlfn.CONCAT(Table1[[#This Row],[Category]],"-",Table1[[#This Row],[City]])</f>
        <v>Electronics-Kolkata</v>
      </c>
      <c r="O1112" t="str">
        <f>LEFT(Table1[[#This Row],[Category]],3)</f>
        <v>Ele</v>
      </c>
      <c r="P1112" s="2"/>
    </row>
    <row r="1113" spans="1:16" x14ac:dyDescent="0.35">
      <c r="A1113" t="s">
        <v>1123</v>
      </c>
      <c r="B1113" t="s">
        <v>1220</v>
      </c>
      <c r="C1113" t="s">
        <v>1227</v>
      </c>
      <c r="D1113">
        <v>4686</v>
      </c>
      <c r="E1113">
        <v>1</v>
      </c>
      <c r="F1113" t="s">
        <v>1280</v>
      </c>
      <c r="G1113" t="s">
        <v>1584</v>
      </c>
      <c r="H1113" t="s">
        <v>1591</v>
      </c>
      <c r="I1113">
        <v>4686</v>
      </c>
      <c r="J1113">
        <v>91</v>
      </c>
      <c r="K1113" t="s">
        <v>1595</v>
      </c>
      <c r="L1113" t="s">
        <v>1597</v>
      </c>
      <c r="M1113" t="str">
        <f>IF(Table1[[#This Row],[Quantity]]&gt;2,"Bulk Order","Normal Order")</f>
        <v>Normal Order</v>
      </c>
      <c r="N1113" t="str">
        <f>_xlfn.CONCAT(Table1[[#This Row],[Category]],"-",Table1[[#This Row],[City]])</f>
        <v>Accessories-Chennai</v>
      </c>
      <c r="O1113" t="str">
        <f>LEFT(Table1[[#This Row],[Category]],3)</f>
        <v>Acc</v>
      </c>
      <c r="P1113" s="2"/>
    </row>
    <row r="1114" spans="1:16" x14ac:dyDescent="0.35">
      <c r="A1114" t="s">
        <v>1124</v>
      </c>
      <c r="B1114" t="s">
        <v>1212</v>
      </c>
      <c r="C1114" t="s">
        <v>1225</v>
      </c>
      <c r="D1114">
        <v>2782</v>
      </c>
      <c r="E1114">
        <v>2</v>
      </c>
      <c r="F1114" t="s">
        <v>1543</v>
      </c>
      <c r="G1114" t="s">
        <v>1589</v>
      </c>
      <c r="H1114" t="s">
        <v>1591</v>
      </c>
      <c r="I1114">
        <v>5564</v>
      </c>
      <c r="J1114">
        <v>90</v>
      </c>
      <c r="K1114" t="s">
        <v>1596</v>
      </c>
      <c r="L1114" t="s">
        <v>1597</v>
      </c>
      <c r="M1114" t="str">
        <f>IF(Table1[[#This Row],[Quantity]]&gt;2,"Bulk Order","Normal Order")</f>
        <v>Normal Order</v>
      </c>
      <c r="N1114" t="str">
        <f>_xlfn.CONCAT(Table1[[#This Row],[Category]],"-",Table1[[#This Row],[City]])</f>
        <v>Fitness-Bangalore</v>
      </c>
      <c r="O1114" t="str">
        <f>LEFT(Table1[[#This Row],[Category]],3)</f>
        <v>Fit</v>
      </c>
      <c r="P1114" s="2"/>
    </row>
    <row r="1115" spans="1:16" x14ac:dyDescent="0.35">
      <c r="A1115" t="s">
        <v>1125</v>
      </c>
      <c r="B1115" t="s">
        <v>1213</v>
      </c>
      <c r="C1115" t="s">
        <v>1226</v>
      </c>
      <c r="D1115">
        <v>383</v>
      </c>
      <c r="E1115">
        <v>2</v>
      </c>
      <c r="F1115" t="s">
        <v>1394</v>
      </c>
      <c r="G1115" t="s">
        <v>1588</v>
      </c>
      <c r="H1115" t="s">
        <v>1593</v>
      </c>
      <c r="I1115">
        <v>766</v>
      </c>
      <c r="J1115">
        <v>40</v>
      </c>
      <c r="K1115" t="s">
        <v>1594</v>
      </c>
      <c r="L1115" t="s">
        <v>1598</v>
      </c>
      <c r="M1115" t="str">
        <f>IF(Table1[[#This Row],[Quantity]]&gt;2,"Bulk Order","Normal Order")</f>
        <v>Normal Order</v>
      </c>
      <c r="N1115" t="str">
        <f>_xlfn.CONCAT(Table1[[#This Row],[Category]],"-",Table1[[#This Row],[City]])</f>
        <v>Home-Delhi</v>
      </c>
      <c r="O1115" t="str">
        <f>LEFT(Table1[[#This Row],[Category]],3)</f>
        <v>Hom</v>
      </c>
      <c r="P1115" s="2"/>
    </row>
    <row r="1116" spans="1:16" x14ac:dyDescent="0.35">
      <c r="A1116" t="s">
        <v>1126</v>
      </c>
      <c r="B1116" t="s">
        <v>1217</v>
      </c>
      <c r="C1116" t="s">
        <v>1225</v>
      </c>
      <c r="D1116">
        <v>927</v>
      </c>
      <c r="E1116">
        <v>1</v>
      </c>
      <c r="F1116" t="s">
        <v>1244</v>
      </c>
      <c r="G1116" t="s">
        <v>1588</v>
      </c>
      <c r="H1116" t="s">
        <v>1593</v>
      </c>
      <c r="I1116">
        <v>927</v>
      </c>
      <c r="J1116">
        <v>33</v>
      </c>
      <c r="K1116" t="s">
        <v>1595</v>
      </c>
      <c r="L1116" t="s">
        <v>1599</v>
      </c>
      <c r="M1116" t="str">
        <f>IF(Table1[[#This Row],[Quantity]]&gt;2,"Bulk Order","Normal Order")</f>
        <v>Normal Order</v>
      </c>
      <c r="N1116" t="str">
        <f>_xlfn.CONCAT(Table1[[#This Row],[Category]],"-",Table1[[#This Row],[City]])</f>
        <v>Fitness-Delhi</v>
      </c>
      <c r="O1116" t="str">
        <f>LEFT(Table1[[#This Row],[Category]],3)</f>
        <v>Fit</v>
      </c>
      <c r="P1116" s="2"/>
    </row>
    <row r="1117" spans="1:16" x14ac:dyDescent="0.35">
      <c r="A1117" t="s">
        <v>1127</v>
      </c>
      <c r="B1117" t="s">
        <v>1217</v>
      </c>
      <c r="C1117" t="s">
        <v>1228</v>
      </c>
      <c r="D1117">
        <v>1245</v>
      </c>
      <c r="E1117">
        <v>4</v>
      </c>
      <c r="F1117" t="s">
        <v>1271</v>
      </c>
      <c r="G1117" t="s">
        <v>1584</v>
      </c>
      <c r="H1117" t="s">
        <v>1590</v>
      </c>
      <c r="I1117">
        <v>4980</v>
      </c>
      <c r="J1117">
        <v>54</v>
      </c>
      <c r="K1117" t="s">
        <v>1595</v>
      </c>
      <c r="L1117" t="s">
        <v>1599</v>
      </c>
      <c r="M1117" t="str">
        <f>IF(Table1[[#This Row],[Quantity]]&gt;2,"Bulk Order","Normal Order")</f>
        <v>Bulk Order</v>
      </c>
      <c r="N1117" t="str">
        <f>_xlfn.CONCAT(Table1[[#This Row],[Category]],"-",Table1[[#This Row],[City]])</f>
        <v>Electronics-Chennai</v>
      </c>
      <c r="O1117" t="str">
        <f>LEFT(Table1[[#This Row],[Category]],3)</f>
        <v>Ele</v>
      </c>
      <c r="P1117" s="2"/>
    </row>
    <row r="1118" spans="1:16" x14ac:dyDescent="0.35">
      <c r="A1118" t="s">
        <v>1128</v>
      </c>
      <c r="B1118" t="s">
        <v>1217</v>
      </c>
      <c r="C1118" t="s">
        <v>1224</v>
      </c>
      <c r="D1118">
        <v>3982</v>
      </c>
      <c r="E1118">
        <v>4</v>
      </c>
      <c r="F1118" t="s">
        <v>1454</v>
      </c>
      <c r="G1118" t="s">
        <v>1585</v>
      </c>
      <c r="H1118" t="s">
        <v>1592</v>
      </c>
      <c r="I1118">
        <v>15928</v>
      </c>
      <c r="J1118">
        <v>34</v>
      </c>
      <c r="K1118" t="s">
        <v>1594</v>
      </c>
      <c r="L1118" t="s">
        <v>1599</v>
      </c>
      <c r="M1118" t="str">
        <f>IF(Table1[[#This Row],[Quantity]]&gt;2,"Bulk Order","Normal Order")</f>
        <v>Bulk Order</v>
      </c>
      <c r="N1118" t="str">
        <f>_xlfn.CONCAT(Table1[[#This Row],[Category]],"-",Table1[[#This Row],[City]])</f>
        <v>Lifestyle-Kolkata</v>
      </c>
      <c r="O1118" t="str">
        <f>LEFT(Table1[[#This Row],[Category]],3)</f>
        <v>Lif</v>
      </c>
      <c r="P1118" s="2"/>
    </row>
    <row r="1119" spans="1:16" x14ac:dyDescent="0.35">
      <c r="A1119" t="s">
        <v>1129</v>
      </c>
      <c r="B1119" t="s">
        <v>1222</v>
      </c>
      <c r="C1119" t="s">
        <v>1224</v>
      </c>
      <c r="D1119">
        <v>1509</v>
      </c>
      <c r="E1119">
        <v>4</v>
      </c>
      <c r="F1119" t="s">
        <v>1513</v>
      </c>
      <c r="G1119" t="s">
        <v>1588</v>
      </c>
      <c r="H1119" t="s">
        <v>1593</v>
      </c>
      <c r="I1119">
        <v>6036</v>
      </c>
      <c r="J1119">
        <v>99</v>
      </c>
      <c r="K1119" t="s">
        <v>1595</v>
      </c>
      <c r="L1119" t="s">
        <v>1599</v>
      </c>
      <c r="M1119" t="str">
        <f>IF(Table1[[#This Row],[Quantity]]&gt;2,"Bulk Order","Normal Order")</f>
        <v>Bulk Order</v>
      </c>
      <c r="N1119" t="str">
        <f>_xlfn.CONCAT(Table1[[#This Row],[Category]],"-",Table1[[#This Row],[City]])</f>
        <v>Lifestyle-Delhi</v>
      </c>
      <c r="O1119" t="str">
        <f>LEFT(Table1[[#This Row],[Category]],3)</f>
        <v>Lif</v>
      </c>
      <c r="P1119" s="2"/>
    </row>
    <row r="1120" spans="1:16" x14ac:dyDescent="0.35">
      <c r="A1120" t="s">
        <v>1130</v>
      </c>
      <c r="B1120" t="s">
        <v>1214</v>
      </c>
      <c r="C1120" t="s">
        <v>1224</v>
      </c>
      <c r="D1120">
        <v>3148</v>
      </c>
      <c r="E1120">
        <v>4</v>
      </c>
      <c r="F1120" t="s">
        <v>1356</v>
      </c>
      <c r="G1120" t="s">
        <v>1589</v>
      </c>
      <c r="H1120" t="s">
        <v>1592</v>
      </c>
      <c r="I1120">
        <v>12592</v>
      </c>
      <c r="J1120">
        <v>25</v>
      </c>
      <c r="K1120" t="s">
        <v>1594</v>
      </c>
      <c r="L1120" t="s">
        <v>1599</v>
      </c>
      <c r="M1120" t="str">
        <f>IF(Table1[[#This Row],[Quantity]]&gt;2,"Bulk Order","Normal Order")</f>
        <v>Bulk Order</v>
      </c>
      <c r="N1120" t="str">
        <f>_xlfn.CONCAT(Table1[[#This Row],[Category]],"-",Table1[[#This Row],[City]])</f>
        <v>Lifestyle-Bangalore</v>
      </c>
      <c r="O1120" t="str">
        <f>LEFT(Table1[[#This Row],[Category]],3)</f>
        <v>Lif</v>
      </c>
      <c r="P1120" s="2"/>
    </row>
    <row r="1121" spans="1:16" x14ac:dyDescent="0.35">
      <c r="A1121" t="s">
        <v>1131</v>
      </c>
      <c r="B1121" t="s">
        <v>1213</v>
      </c>
      <c r="C1121" t="s">
        <v>1227</v>
      </c>
      <c r="D1121">
        <v>3026</v>
      </c>
      <c r="E1121">
        <v>1</v>
      </c>
      <c r="F1121" t="s">
        <v>1448</v>
      </c>
      <c r="G1121" t="s">
        <v>1585</v>
      </c>
      <c r="H1121" t="s">
        <v>1593</v>
      </c>
      <c r="I1121">
        <v>3026</v>
      </c>
      <c r="J1121">
        <v>85</v>
      </c>
      <c r="K1121" t="s">
        <v>1595</v>
      </c>
      <c r="L1121" t="s">
        <v>1598</v>
      </c>
      <c r="M1121" t="str">
        <f>IF(Table1[[#This Row],[Quantity]]&gt;2,"Bulk Order","Normal Order")</f>
        <v>Normal Order</v>
      </c>
      <c r="N1121" t="str">
        <f>_xlfn.CONCAT(Table1[[#This Row],[Category]],"-",Table1[[#This Row],[City]])</f>
        <v>Accessories-Kolkata</v>
      </c>
      <c r="O1121" t="str">
        <f>LEFT(Table1[[#This Row],[Category]],3)</f>
        <v>Acc</v>
      </c>
      <c r="P1121" s="2"/>
    </row>
    <row r="1122" spans="1:16" x14ac:dyDescent="0.35">
      <c r="A1122" t="s">
        <v>1132</v>
      </c>
      <c r="B1122" t="s">
        <v>1213</v>
      </c>
      <c r="C1122" t="s">
        <v>1225</v>
      </c>
      <c r="D1122">
        <v>2525</v>
      </c>
      <c r="E1122">
        <v>2</v>
      </c>
      <c r="F1122" t="s">
        <v>1295</v>
      </c>
      <c r="G1122" t="s">
        <v>1584</v>
      </c>
      <c r="H1122" t="s">
        <v>1593</v>
      </c>
      <c r="I1122">
        <v>5050</v>
      </c>
      <c r="J1122">
        <v>82</v>
      </c>
      <c r="K1122" t="s">
        <v>1595</v>
      </c>
      <c r="L1122" t="s">
        <v>1599</v>
      </c>
      <c r="M1122" t="str">
        <f>IF(Table1[[#This Row],[Quantity]]&gt;2,"Bulk Order","Normal Order")</f>
        <v>Normal Order</v>
      </c>
      <c r="N1122" t="str">
        <f>_xlfn.CONCAT(Table1[[#This Row],[Category]],"-",Table1[[#This Row],[City]])</f>
        <v>Fitness-Chennai</v>
      </c>
      <c r="O1122" t="str">
        <f>LEFT(Table1[[#This Row],[Category]],3)</f>
        <v>Fit</v>
      </c>
      <c r="P1122" s="2"/>
    </row>
    <row r="1123" spans="1:16" x14ac:dyDescent="0.35">
      <c r="A1123" t="s">
        <v>1133</v>
      </c>
      <c r="B1123" t="s">
        <v>1219</v>
      </c>
      <c r="C1123" t="s">
        <v>1224</v>
      </c>
      <c r="D1123">
        <v>3392</v>
      </c>
      <c r="E1123">
        <v>1</v>
      </c>
      <c r="F1123" t="s">
        <v>1526</v>
      </c>
      <c r="G1123" t="s">
        <v>1586</v>
      </c>
      <c r="H1123" t="s">
        <v>1592</v>
      </c>
      <c r="I1123">
        <v>3392</v>
      </c>
      <c r="J1123">
        <v>56</v>
      </c>
      <c r="K1123" t="s">
        <v>1595</v>
      </c>
      <c r="L1123" t="s">
        <v>1599</v>
      </c>
      <c r="M1123" t="str">
        <f>IF(Table1[[#This Row],[Quantity]]&gt;2,"Bulk Order","Normal Order")</f>
        <v>Normal Order</v>
      </c>
      <c r="N1123" t="str">
        <f>_xlfn.CONCAT(Table1[[#This Row],[Category]],"-",Table1[[#This Row],[City]])</f>
        <v>Lifestyle-Hyderabad</v>
      </c>
      <c r="O1123" t="str">
        <f>LEFT(Table1[[#This Row],[Category]],3)</f>
        <v>Lif</v>
      </c>
      <c r="P1123" s="2"/>
    </row>
    <row r="1124" spans="1:16" x14ac:dyDescent="0.35">
      <c r="A1124" t="s">
        <v>1134</v>
      </c>
      <c r="B1124" t="s">
        <v>1218</v>
      </c>
      <c r="C1124" t="s">
        <v>1228</v>
      </c>
      <c r="D1124">
        <v>1156</v>
      </c>
      <c r="E1124">
        <v>2</v>
      </c>
      <c r="F1124" t="s">
        <v>1245</v>
      </c>
      <c r="G1124" t="s">
        <v>1587</v>
      </c>
      <c r="H1124" t="s">
        <v>1592</v>
      </c>
      <c r="I1124">
        <v>2312</v>
      </c>
      <c r="J1124">
        <v>27</v>
      </c>
      <c r="K1124" t="s">
        <v>1594</v>
      </c>
      <c r="L1124" t="s">
        <v>1598</v>
      </c>
      <c r="M1124" t="str">
        <f>IF(Table1[[#This Row],[Quantity]]&gt;2,"Bulk Order","Normal Order")</f>
        <v>Normal Order</v>
      </c>
      <c r="N1124" t="str">
        <f>_xlfn.CONCAT(Table1[[#This Row],[Category]],"-",Table1[[#This Row],[City]])</f>
        <v>Electronics-Mumbai</v>
      </c>
      <c r="O1124" t="str">
        <f>LEFT(Table1[[#This Row],[Category]],3)</f>
        <v>Ele</v>
      </c>
      <c r="P1124" s="2"/>
    </row>
    <row r="1125" spans="1:16" x14ac:dyDescent="0.35">
      <c r="A1125" t="s">
        <v>1135</v>
      </c>
      <c r="B1125" t="s">
        <v>1217</v>
      </c>
      <c r="C1125" t="s">
        <v>1227</v>
      </c>
      <c r="D1125">
        <v>331</v>
      </c>
      <c r="E1125">
        <v>3</v>
      </c>
      <c r="F1125" t="s">
        <v>1408</v>
      </c>
      <c r="G1125" t="s">
        <v>1586</v>
      </c>
      <c r="H1125" t="s">
        <v>1592</v>
      </c>
      <c r="I1125">
        <v>993</v>
      </c>
      <c r="J1125">
        <v>92</v>
      </c>
      <c r="K1125" t="s">
        <v>1595</v>
      </c>
      <c r="L1125" t="s">
        <v>1598</v>
      </c>
      <c r="M1125" t="str">
        <f>IF(Table1[[#This Row],[Quantity]]&gt;2,"Bulk Order","Normal Order")</f>
        <v>Bulk Order</v>
      </c>
      <c r="N1125" t="str">
        <f>_xlfn.CONCAT(Table1[[#This Row],[Category]],"-",Table1[[#This Row],[City]])</f>
        <v>Accessories-Hyderabad</v>
      </c>
      <c r="O1125" t="str">
        <f>LEFT(Table1[[#This Row],[Category]],3)</f>
        <v>Acc</v>
      </c>
      <c r="P1125" s="2"/>
    </row>
    <row r="1126" spans="1:16" x14ac:dyDescent="0.35">
      <c r="A1126" t="s">
        <v>1136</v>
      </c>
      <c r="B1126" t="s">
        <v>1213</v>
      </c>
      <c r="C1126" t="s">
        <v>1226</v>
      </c>
      <c r="D1126">
        <v>3422</v>
      </c>
      <c r="E1126">
        <v>1</v>
      </c>
      <c r="F1126" t="s">
        <v>1407</v>
      </c>
      <c r="G1126" t="s">
        <v>1586</v>
      </c>
      <c r="H1126" t="s">
        <v>1593</v>
      </c>
      <c r="I1126">
        <v>3422</v>
      </c>
      <c r="J1126">
        <v>66</v>
      </c>
      <c r="K1126" t="s">
        <v>1595</v>
      </c>
      <c r="L1126" t="s">
        <v>1598</v>
      </c>
      <c r="M1126" t="str">
        <f>IF(Table1[[#This Row],[Quantity]]&gt;2,"Bulk Order","Normal Order")</f>
        <v>Normal Order</v>
      </c>
      <c r="N1126" t="str">
        <f>_xlfn.CONCAT(Table1[[#This Row],[Category]],"-",Table1[[#This Row],[City]])</f>
        <v>Home-Hyderabad</v>
      </c>
      <c r="O1126" t="str">
        <f>LEFT(Table1[[#This Row],[Category]],3)</f>
        <v>Hom</v>
      </c>
      <c r="P1126" s="2"/>
    </row>
    <row r="1127" spans="1:16" x14ac:dyDescent="0.35">
      <c r="A1127" t="s">
        <v>1137</v>
      </c>
      <c r="B1127" t="s">
        <v>1219</v>
      </c>
      <c r="C1127" t="s">
        <v>1225</v>
      </c>
      <c r="D1127">
        <v>1415</v>
      </c>
      <c r="E1127">
        <v>2</v>
      </c>
      <c r="F1127" t="s">
        <v>1272</v>
      </c>
      <c r="G1127" t="s">
        <v>1585</v>
      </c>
      <c r="H1127" t="s">
        <v>1592</v>
      </c>
      <c r="I1127">
        <v>2830</v>
      </c>
      <c r="J1127">
        <v>34</v>
      </c>
      <c r="K1127" t="s">
        <v>1595</v>
      </c>
      <c r="L1127" t="s">
        <v>1599</v>
      </c>
      <c r="M1127" t="str">
        <f>IF(Table1[[#This Row],[Quantity]]&gt;2,"Bulk Order","Normal Order")</f>
        <v>Normal Order</v>
      </c>
      <c r="N1127" t="str">
        <f>_xlfn.CONCAT(Table1[[#This Row],[Category]],"-",Table1[[#This Row],[City]])</f>
        <v>Fitness-Kolkata</v>
      </c>
      <c r="O1127" t="str">
        <f>LEFT(Table1[[#This Row],[Category]],3)</f>
        <v>Fit</v>
      </c>
      <c r="P1127" s="2"/>
    </row>
    <row r="1128" spans="1:16" x14ac:dyDescent="0.35">
      <c r="A1128" t="s">
        <v>1138</v>
      </c>
      <c r="B1128" t="s">
        <v>1217</v>
      </c>
      <c r="C1128" t="s">
        <v>1228</v>
      </c>
      <c r="D1128">
        <v>4281</v>
      </c>
      <c r="E1128">
        <v>2</v>
      </c>
      <c r="F1128" t="s">
        <v>1473</v>
      </c>
      <c r="G1128" t="s">
        <v>1588</v>
      </c>
      <c r="H1128" t="s">
        <v>1590</v>
      </c>
      <c r="I1128">
        <v>8562</v>
      </c>
      <c r="J1128">
        <v>35</v>
      </c>
      <c r="K1128" t="s">
        <v>1594</v>
      </c>
      <c r="L1128" t="s">
        <v>1599</v>
      </c>
      <c r="M1128" t="str">
        <f>IF(Table1[[#This Row],[Quantity]]&gt;2,"Bulk Order","Normal Order")</f>
        <v>Normal Order</v>
      </c>
      <c r="N1128" t="str">
        <f>_xlfn.CONCAT(Table1[[#This Row],[Category]],"-",Table1[[#This Row],[City]])</f>
        <v>Electronics-Delhi</v>
      </c>
      <c r="O1128" t="str">
        <f>LEFT(Table1[[#This Row],[Category]],3)</f>
        <v>Ele</v>
      </c>
      <c r="P1128" s="2"/>
    </row>
    <row r="1129" spans="1:16" x14ac:dyDescent="0.35">
      <c r="A1129" t="s">
        <v>1139</v>
      </c>
      <c r="B1129" t="s">
        <v>1215</v>
      </c>
      <c r="C1129" t="s">
        <v>1228</v>
      </c>
      <c r="D1129">
        <v>2187</v>
      </c>
      <c r="E1129">
        <v>4</v>
      </c>
      <c r="F1129" t="s">
        <v>1280</v>
      </c>
      <c r="G1129" t="s">
        <v>1587</v>
      </c>
      <c r="H1129" t="s">
        <v>1592</v>
      </c>
      <c r="I1129">
        <v>8748</v>
      </c>
      <c r="J1129">
        <v>69</v>
      </c>
      <c r="K1129" t="s">
        <v>1595</v>
      </c>
      <c r="L1129" t="s">
        <v>1598</v>
      </c>
      <c r="M1129" t="str">
        <f>IF(Table1[[#This Row],[Quantity]]&gt;2,"Bulk Order","Normal Order")</f>
        <v>Bulk Order</v>
      </c>
      <c r="N1129" t="str">
        <f>_xlfn.CONCAT(Table1[[#This Row],[Category]],"-",Table1[[#This Row],[City]])</f>
        <v>Electronics-Mumbai</v>
      </c>
      <c r="O1129" t="str">
        <f>LEFT(Table1[[#This Row],[Category]],3)</f>
        <v>Ele</v>
      </c>
      <c r="P1129" s="2"/>
    </row>
    <row r="1130" spans="1:16" x14ac:dyDescent="0.35">
      <c r="A1130" t="s">
        <v>1140</v>
      </c>
      <c r="B1130" t="s">
        <v>1216</v>
      </c>
      <c r="C1130" t="s">
        <v>1224</v>
      </c>
      <c r="D1130">
        <v>1687</v>
      </c>
      <c r="E1130">
        <v>2</v>
      </c>
      <c r="F1130" t="s">
        <v>1370</v>
      </c>
      <c r="G1130" t="s">
        <v>1586</v>
      </c>
      <c r="H1130" t="s">
        <v>1593</v>
      </c>
      <c r="I1130">
        <v>3374</v>
      </c>
      <c r="J1130">
        <v>79</v>
      </c>
      <c r="K1130" t="s">
        <v>1595</v>
      </c>
      <c r="L1130" t="s">
        <v>1598</v>
      </c>
      <c r="M1130" t="str">
        <f>IF(Table1[[#This Row],[Quantity]]&gt;2,"Bulk Order","Normal Order")</f>
        <v>Normal Order</v>
      </c>
      <c r="N1130" t="str">
        <f>_xlfn.CONCAT(Table1[[#This Row],[Category]],"-",Table1[[#This Row],[City]])</f>
        <v>Lifestyle-Hyderabad</v>
      </c>
      <c r="O1130" t="str">
        <f>LEFT(Table1[[#This Row],[Category]],3)</f>
        <v>Lif</v>
      </c>
      <c r="P1130" s="2"/>
    </row>
    <row r="1131" spans="1:16" x14ac:dyDescent="0.35">
      <c r="A1131" t="s">
        <v>1141</v>
      </c>
      <c r="B1131" t="s">
        <v>1217</v>
      </c>
      <c r="C1131" t="s">
        <v>1227</v>
      </c>
      <c r="D1131">
        <v>2989</v>
      </c>
      <c r="E1131">
        <v>2</v>
      </c>
      <c r="F1131" t="s">
        <v>1238</v>
      </c>
      <c r="G1131" t="s">
        <v>1585</v>
      </c>
      <c r="H1131" t="s">
        <v>1593</v>
      </c>
      <c r="I1131">
        <v>5978</v>
      </c>
      <c r="J1131">
        <v>47</v>
      </c>
      <c r="K1131" t="s">
        <v>1595</v>
      </c>
      <c r="L1131" t="s">
        <v>1597</v>
      </c>
      <c r="M1131" t="str">
        <f>IF(Table1[[#This Row],[Quantity]]&gt;2,"Bulk Order","Normal Order")</f>
        <v>Normal Order</v>
      </c>
      <c r="N1131" t="str">
        <f>_xlfn.CONCAT(Table1[[#This Row],[Category]],"-",Table1[[#This Row],[City]])</f>
        <v>Accessories-Kolkata</v>
      </c>
      <c r="O1131" t="str">
        <f>LEFT(Table1[[#This Row],[Category]],3)</f>
        <v>Acc</v>
      </c>
      <c r="P1131" s="2"/>
    </row>
    <row r="1132" spans="1:16" x14ac:dyDescent="0.35">
      <c r="A1132" t="s">
        <v>1142</v>
      </c>
      <c r="B1132" t="s">
        <v>1223</v>
      </c>
      <c r="C1132" t="s">
        <v>1224</v>
      </c>
      <c r="D1132">
        <v>3141</v>
      </c>
      <c r="E1132">
        <v>4</v>
      </c>
      <c r="F1132" t="s">
        <v>1387</v>
      </c>
      <c r="G1132" t="s">
        <v>1584</v>
      </c>
      <c r="H1132" t="s">
        <v>1591</v>
      </c>
      <c r="I1132">
        <v>12564</v>
      </c>
      <c r="J1132">
        <v>37</v>
      </c>
      <c r="K1132" t="s">
        <v>1595</v>
      </c>
      <c r="L1132" t="s">
        <v>1599</v>
      </c>
      <c r="M1132" t="str">
        <f>IF(Table1[[#This Row],[Quantity]]&gt;2,"Bulk Order","Normal Order")</f>
        <v>Bulk Order</v>
      </c>
      <c r="N1132" t="str">
        <f>_xlfn.CONCAT(Table1[[#This Row],[Category]],"-",Table1[[#This Row],[City]])</f>
        <v>Lifestyle-Chennai</v>
      </c>
      <c r="O1132" t="str">
        <f>LEFT(Table1[[#This Row],[Category]],3)</f>
        <v>Lif</v>
      </c>
      <c r="P1132" s="2"/>
    </row>
    <row r="1133" spans="1:16" x14ac:dyDescent="0.35">
      <c r="A1133" t="s">
        <v>1143</v>
      </c>
      <c r="B1133" t="s">
        <v>1218</v>
      </c>
      <c r="C1133" t="s">
        <v>1227</v>
      </c>
      <c r="D1133">
        <v>378</v>
      </c>
      <c r="E1133">
        <v>4</v>
      </c>
      <c r="F1133" t="s">
        <v>1444</v>
      </c>
      <c r="G1133" t="s">
        <v>1585</v>
      </c>
      <c r="H1133" t="s">
        <v>1590</v>
      </c>
      <c r="I1133">
        <v>1512</v>
      </c>
      <c r="J1133">
        <v>93</v>
      </c>
      <c r="K1133" t="s">
        <v>1594</v>
      </c>
      <c r="L1133" t="s">
        <v>1598</v>
      </c>
      <c r="M1133" t="str">
        <f>IF(Table1[[#This Row],[Quantity]]&gt;2,"Bulk Order","Normal Order")</f>
        <v>Bulk Order</v>
      </c>
      <c r="N1133" t="str">
        <f>_xlfn.CONCAT(Table1[[#This Row],[Category]],"-",Table1[[#This Row],[City]])</f>
        <v>Accessories-Kolkata</v>
      </c>
      <c r="O1133" t="str">
        <f>LEFT(Table1[[#This Row],[Category]],3)</f>
        <v>Acc</v>
      </c>
      <c r="P1133" s="2"/>
    </row>
    <row r="1134" spans="1:16" x14ac:dyDescent="0.35">
      <c r="A1134" t="s">
        <v>1144</v>
      </c>
      <c r="B1134" t="s">
        <v>1218</v>
      </c>
      <c r="C1134" t="s">
        <v>1225</v>
      </c>
      <c r="D1134">
        <v>3199</v>
      </c>
      <c r="E1134">
        <v>1</v>
      </c>
      <c r="F1134" t="s">
        <v>1462</v>
      </c>
      <c r="G1134" t="s">
        <v>1586</v>
      </c>
      <c r="H1134" t="s">
        <v>1590</v>
      </c>
      <c r="I1134">
        <v>3199</v>
      </c>
      <c r="J1134">
        <v>64</v>
      </c>
      <c r="K1134" t="s">
        <v>1595</v>
      </c>
      <c r="L1134" t="s">
        <v>1597</v>
      </c>
      <c r="M1134" t="str">
        <f>IF(Table1[[#This Row],[Quantity]]&gt;2,"Bulk Order","Normal Order")</f>
        <v>Normal Order</v>
      </c>
      <c r="N1134" t="str">
        <f>_xlfn.CONCAT(Table1[[#This Row],[Category]],"-",Table1[[#This Row],[City]])</f>
        <v>Fitness-Hyderabad</v>
      </c>
      <c r="O1134" t="str">
        <f>LEFT(Table1[[#This Row],[Category]],3)</f>
        <v>Fit</v>
      </c>
      <c r="P1134" s="2"/>
    </row>
    <row r="1135" spans="1:16" x14ac:dyDescent="0.35">
      <c r="A1135" t="s">
        <v>1145</v>
      </c>
      <c r="B1135" t="s">
        <v>1212</v>
      </c>
      <c r="C1135" t="s">
        <v>1227</v>
      </c>
      <c r="D1135">
        <v>1402</v>
      </c>
      <c r="E1135">
        <v>2</v>
      </c>
      <c r="F1135" t="s">
        <v>1463</v>
      </c>
      <c r="G1135" t="s">
        <v>1588</v>
      </c>
      <c r="H1135" t="s">
        <v>1591</v>
      </c>
      <c r="I1135">
        <v>2804</v>
      </c>
      <c r="J1135">
        <v>47</v>
      </c>
      <c r="K1135" t="s">
        <v>1595</v>
      </c>
      <c r="L1135" t="s">
        <v>1599</v>
      </c>
      <c r="M1135" t="str">
        <f>IF(Table1[[#This Row],[Quantity]]&gt;2,"Bulk Order","Normal Order")</f>
        <v>Normal Order</v>
      </c>
      <c r="N1135" t="str">
        <f>_xlfn.CONCAT(Table1[[#This Row],[Category]],"-",Table1[[#This Row],[City]])</f>
        <v>Accessories-Delhi</v>
      </c>
      <c r="O1135" t="str">
        <f>LEFT(Table1[[#This Row],[Category]],3)</f>
        <v>Acc</v>
      </c>
      <c r="P1135" s="2"/>
    </row>
    <row r="1136" spans="1:16" x14ac:dyDescent="0.35">
      <c r="A1136" t="s">
        <v>1146</v>
      </c>
      <c r="B1136" t="s">
        <v>1212</v>
      </c>
      <c r="C1136" t="s">
        <v>1224</v>
      </c>
      <c r="D1136">
        <v>584</v>
      </c>
      <c r="E1136">
        <v>2</v>
      </c>
      <c r="F1136" t="s">
        <v>1467</v>
      </c>
      <c r="G1136" t="s">
        <v>1584</v>
      </c>
      <c r="H1136" t="s">
        <v>1591</v>
      </c>
      <c r="I1136">
        <v>1168</v>
      </c>
      <c r="J1136">
        <v>39</v>
      </c>
      <c r="K1136" t="s">
        <v>1595</v>
      </c>
      <c r="L1136" t="s">
        <v>1598</v>
      </c>
      <c r="M1136" t="str">
        <f>IF(Table1[[#This Row],[Quantity]]&gt;2,"Bulk Order","Normal Order")</f>
        <v>Normal Order</v>
      </c>
      <c r="N1136" t="str">
        <f>_xlfn.CONCAT(Table1[[#This Row],[Category]],"-",Table1[[#This Row],[City]])</f>
        <v>Lifestyle-Chennai</v>
      </c>
      <c r="O1136" t="str">
        <f>LEFT(Table1[[#This Row],[Category]],3)</f>
        <v>Lif</v>
      </c>
      <c r="P1136" s="2"/>
    </row>
    <row r="1137" spans="1:16" x14ac:dyDescent="0.35">
      <c r="A1137" t="s">
        <v>1147</v>
      </c>
      <c r="B1137" t="s">
        <v>1215</v>
      </c>
      <c r="C1137" t="s">
        <v>1226</v>
      </c>
      <c r="D1137">
        <v>4595</v>
      </c>
      <c r="E1137">
        <v>3</v>
      </c>
      <c r="F1137" t="s">
        <v>1289</v>
      </c>
      <c r="G1137" t="s">
        <v>1587</v>
      </c>
      <c r="H1137" t="s">
        <v>1592</v>
      </c>
      <c r="I1137">
        <v>13785</v>
      </c>
      <c r="J1137">
        <v>57</v>
      </c>
      <c r="K1137" t="s">
        <v>1596</v>
      </c>
      <c r="L1137" t="s">
        <v>1599</v>
      </c>
      <c r="M1137" t="str">
        <f>IF(Table1[[#This Row],[Quantity]]&gt;2,"Bulk Order","Normal Order")</f>
        <v>Bulk Order</v>
      </c>
      <c r="N1137" t="str">
        <f>_xlfn.CONCAT(Table1[[#This Row],[Category]],"-",Table1[[#This Row],[City]])</f>
        <v>Home-Mumbai</v>
      </c>
      <c r="O1137" t="str">
        <f>LEFT(Table1[[#This Row],[Category]],3)</f>
        <v>Hom</v>
      </c>
      <c r="P1137" s="2"/>
    </row>
    <row r="1138" spans="1:16" x14ac:dyDescent="0.35">
      <c r="A1138" t="s">
        <v>1148</v>
      </c>
      <c r="B1138" t="s">
        <v>1212</v>
      </c>
      <c r="C1138" t="s">
        <v>1227</v>
      </c>
      <c r="D1138">
        <v>1750</v>
      </c>
      <c r="E1138">
        <v>3</v>
      </c>
      <c r="F1138" t="s">
        <v>1475</v>
      </c>
      <c r="G1138" t="s">
        <v>1586</v>
      </c>
      <c r="H1138" t="s">
        <v>1590</v>
      </c>
      <c r="I1138">
        <v>5250</v>
      </c>
      <c r="J1138">
        <v>66</v>
      </c>
      <c r="K1138" t="s">
        <v>1595</v>
      </c>
      <c r="L1138" t="s">
        <v>1599</v>
      </c>
      <c r="M1138" t="str">
        <f>IF(Table1[[#This Row],[Quantity]]&gt;2,"Bulk Order","Normal Order")</f>
        <v>Bulk Order</v>
      </c>
      <c r="N1138" t="str">
        <f>_xlfn.CONCAT(Table1[[#This Row],[Category]],"-",Table1[[#This Row],[City]])</f>
        <v>Accessories-Hyderabad</v>
      </c>
      <c r="O1138" t="str">
        <f>LEFT(Table1[[#This Row],[Category]],3)</f>
        <v>Acc</v>
      </c>
      <c r="P1138" s="2"/>
    </row>
    <row r="1139" spans="1:16" x14ac:dyDescent="0.35">
      <c r="A1139" t="s">
        <v>1149</v>
      </c>
      <c r="B1139" t="s">
        <v>1213</v>
      </c>
      <c r="C1139" t="s">
        <v>1226</v>
      </c>
      <c r="D1139">
        <v>679</v>
      </c>
      <c r="E1139">
        <v>2</v>
      </c>
      <c r="F1139" t="s">
        <v>1351</v>
      </c>
      <c r="G1139" t="s">
        <v>1586</v>
      </c>
      <c r="H1139" t="s">
        <v>1590</v>
      </c>
      <c r="I1139">
        <v>1358</v>
      </c>
      <c r="J1139">
        <v>34</v>
      </c>
      <c r="K1139" t="s">
        <v>1594</v>
      </c>
      <c r="L1139" t="s">
        <v>1598</v>
      </c>
      <c r="M1139" t="str">
        <f>IF(Table1[[#This Row],[Quantity]]&gt;2,"Bulk Order","Normal Order")</f>
        <v>Normal Order</v>
      </c>
      <c r="N1139" t="str">
        <f>_xlfn.CONCAT(Table1[[#This Row],[Category]],"-",Table1[[#This Row],[City]])</f>
        <v>Home-Hyderabad</v>
      </c>
      <c r="O1139" t="str">
        <f>LEFT(Table1[[#This Row],[Category]],3)</f>
        <v>Hom</v>
      </c>
      <c r="P1139" s="2"/>
    </row>
    <row r="1140" spans="1:16" x14ac:dyDescent="0.35">
      <c r="A1140" t="s">
        <v>1150</v>
      </c>
      <c r="B1140" t="s">
        <v>1219</v>
      </c>
      <c r="C1140" t="s">
        <v>1227</v>
      </c>
      <c r="D1140">
        <v>2986</v>
      </c>
      <c r="E1140">
        <v>2</v>
      </c>
      <c r="F1140" t="s">
        <v>1283</v>
      </c>
      <c r="G1140" t="s">
        <v>1586</v>
      </c>
      <c r="H1140" t="s">
        <v>1590</v>
      </c>
      <c r="I1140">
        <v>5972</v>
      </c>
      <c r="J1140">
        <v>49</v>
      </c>
      <c r="K1140" t="s">
        <v>1595</v>
      </c>
      <c r="L1140" t="s">
        <v>1599</v>
      </c>
      <c r="M1140" t="str">
        <f>IF(Table1[[#This Row],[Quantity]]&gt;2,"Bulk Order","Normal Order")</f>
        <v>Normal Order</v>
      </c>
      <c r="N1140" t="str">
        <f>_xlfn.CONCAT(Table1[[#This Row],[Category]],"-",Table1[[#This Row],[City]])</f>
        <v>Accessories-Hyderabad</v>
      </c>
      <c r="O1140" t="str">
        <f>LEFT(Table1[[#This Row],[Category]],3)</f>
        <v>Acc</v>
      </c>
      <c r="P1140" s="2"/>
    </row>
    <row r="1141" spans="1:16" x14ac:dyDescent="0.35">
      <c r="A1141" t="s">
        <v>1151</v>
      </c>
      <c r="B1141" t="s">
        <v>1220</v>
      </c>
      <c r="C1141" t="s">
        <v>1225</v>
      </c>
      <c r="D1141">
        <v>1863</v>
      </c>
      <c r="E1141">
        <v>3</v>
      </c>
      <c r="F1141" t="s">
        <v>1367</v>
      </c>
      <c r="G1141" t="s">
        <v>1587</v>
      </c>
      <c r="H1141" t="s">
        <v>1591</v>
      </c>
      <c r="I1141">
        <v>5589</v>
      </c>
      <c r="J1141">
        <v>82</v>
      </c>
      <c r="K1141" t="s">
        <v>1594</v>
      </c>
      <c r="L1141" t="s">
        <v>1597</v>
      </c>
      <c r="M1141" t="str">
        <f>IF(Table1[[#This Row],[Quantity]]&gt;2,"Bulk Order","Normal Order")</f>
        <v>Bulk Order</v>
      </c>
      <c r="N1141" t="str">
        <f>_xlfn.CONCAT(Table1[[#This Row],[Category]],"-",Table1[[#This Row],[City]])</f>
        <v>Fitness-Mumbai</v>
      </c>
      <c r="O1141" t="str">
        <f>LEFT(Table1[[#This Row],[Category]],3)</f>
        <v>Fit</v>
      </c>
      <c r="P1141" s="2"/>
    </row>
    <row r="1142" spans="1:16" x14ac:dyDescent="0.35">
      <c r="A1142" t="s">
        <v>1152</v>
      </c>
      <c r="B1142" t="s">
        <v>1219</v>
      </c>
      <c r="C1142" t="s">
        <v>1227</v>
      </c>
      <c r="D1142">
        <v>2151</v>
      </c>
      <c r="E1142">
        <v>4</v>
      </c>
      <c r="F1142" t="s">
        <v>1382</v>
      </c>
      <c r="G1142" t="s">
        <v>1584</v>
      </c>
      <c r="H1142" t="s">
        <v>1593</v>
      </c>
      <c r="I1142">
        <v>8604</v>
      </c>
      <c r="J1142">
        <v>79</v>
      </c>
      <c r="K1142" t="s">
        <v>1596</v>
      </c>
      <c r="L1142" t="s">
        <v>1597</v>
      </c>
      <c r="M1142" t="str">
        <f>IF(Table1[[#This Row],[Quantity]]&gt;2,"Bulk Order","Normal Order")</f>
        <v>Bulk Order</v>
      </c>
      <c r="N1142" t="str">
        <f>_xlfn.CONCAT(Table1[[#This Row],[Category]],"-",Table1[[#This Row],[City]])</f>
        <v>Accessories-Chennai</v>
      </c>
      <c r="O1142" t="str">
        <f>LEFT(Table1[[#This Row],[Category]],3)</f>
        <v>Acc</v>
      </c>
      <c r="P1142" s="2"/>
    </row>
    <row r="1143" spans="1:16" x14ac:dyDescent="0.35">
      <c r="A1143" t="s">
        <v>1153</v>
      </c>
      <c r="B1143" t="s">
        <v>1213</v>
      </c>
      <c r="C1143" t="s">
        <v>1228</v>
      </c>
      <c r="D1143">
        <v>2504</v>
      </c>
      <c r="E1143">
        <v>2</v>
      </c>
      <c r="F1143" t="s">
        <v>1410</v>
      </c>
      <c r="G1143" t="s">
        <v>1585</v>
      </c>
      <c r="H1143" t="s">
        <v>1592</v>
      </c>
      <c r="I1143">
        <v>5008</v>
      </c>
      <c r="J1143">
        <v>48</v>
      </c>
      <c r="K1143" t="s">
        <v>1595</v>
      </c>
      <c r="L1143" t="s">
        <v>1598</v>
      </c>
      <c r="M1143" t="str">
        <f>IF(Table1[[#This Row],[Quantity]]&gt;2,"Bulk Order","Normal Order")</f>
        <v>Normal Order</v>
      </c>
      <c r="N1143" t="str">
        <f>_xlfn.CONCAT(Table1[[#This Row],[Category]],"-",Table1[[#This Row],[City]])</f>
        <v>Electronics-Kolkata</v>
      </c>
      <c r="O1143" t="str">
        <f>LEFT(Table1[[#This Row],[Category]],3)</f>
        <v>Ele</v>
      </c>
      <c r="P1143" s="2"/>
    </row>
    <row r="1144" spans="1:16" x14ac:dyDescent="0.35">
      <c r="A1144" t="s">
        <v>1154</v>
      </c>
      <c r="B1144" t="s">
        <v>1223</v>
      </c>
      <c r="C1144" t="s">
        <v>1226</v>
      </c>
      <c r="D1144">
        <v>1832</v>
      </c>
      <c r="E1144">
        <v>1</v>
      </c>
      <c r="F1144" t="s">
        <v>1428</v>
      </c>
      <c r="G1144" t="s">
        <v>1584</v>
      </c>
      <c r="H1144" t="s">
        <v>1593</v>
      </c>
      <c r="I1144">
        <v>1832</v>
      </c>
      <c r="J1144">
        <v>82</v>
      </c>
      <c r="K1144" t="s">
        <v>1594</v>
      </c>
      <c r="L1144" t="s">
        <v>1599</v>
      </c>
      <c r="M1144" t="str">
        <f>IF(Table1[[#This Row],[Quantity]]&gt;2,"Bulk Order","Normal Order")</f>
        <v>Normal Order</v>
      </c>
      <c r="N1144" t="str">
        <f>_xlfn.CONCAT(Table1[[#This Row],[Category]],"-",Table1[[#This Row],[City]])</f>
        <v>Home-Chennai</v>
      </c>
      <c r="O1144" t="str">
        <f>LEFT(Table1[[#This Row],[Category]],3)</f>
        <v>Hom</v>
      </c>
      <c r="P1144" s="2"/>
    </row>
    <row r="1145" spans="1:16" x14ac:dyDescent="0.35">
      <c r="A1145" t="s">
        <v>1155</v>
      </c>
      <c r="B1145" t="s">
        <v>1216</v>
      </c>
      <c r="C1145" t="s">
        <v>1224</v>
      </c>
      <c r="D1145">
        <v>440</v>
      </c>
      <c r="E1145">
        <v>1</v>
      </c>
      <c r="F1145" t="s">
        <v>1472</v>
      </c>
      <c r="G1145" t="s">
        <v>1585</v>
      </c>
      <c r="H1145" t="s">
        <v>1591</v>
      </c>
      <c r="I1145">
        <v>440</v>
      </c>
      <c r="J1145">
        <v>26</v>
      </c>
      <c r="K1145" t="s">
        <v>1594</v>
      </c>
      <c r="L1145" t="s">
        <v>1599</v>
      </c>
      <c r="M1145" t="str">
        <f>IF(Table1[[#This Row],[Quantity]]&gt;2,"Bulk Order","Normal Order")</f>
        <v>Normal Order</v>
      </c>
      <c r="N1145" t="str">
        <f>_xlfn.CONCAT(Table1[[#This Row],[Category]],"-",Table1[[#This Row],[City]])</f>
        <v>Lifestyle-Kolkata</v>
      </c>
      <c r="O1145" t="str">
        <f>LEFT(Table1[[#This Row],[Category]],3)</f>
        <v>Lif</v>
      </c>
      <c r="P1145" s="2"/>
    </row>
    <row r="1146" spans="1:16" x14ac:dyDescent="0.35">
      <c r="A1146" t="s">
        <v>1156</v>
      </c>
      <c r="B1146" t="s">
        <v>1219</v>
      </c>
      <c r="C1146" t="s">
        <v>1226</v>
      </c>
      <c r="D1146">
        <v>3281</v>
      </c>
      <c r="E1146">
        <v>1</v>
      </c>
      <c r="F1146" t="s">
        <v>1282</v>
      </c>
      <c r="G1146" t="s">
        <v>1587</v>
      </c>
      <c r="H1146" t="s">
        <v>1593</v>
      </c>
      <c r="I1146">
        <v>3281</v>
      </c>
      <c r="J1146">
        <v>86</v>
      </c>
      <c r="K1146" t="s">
        <v>1595</v>
      </c>
      <c r="L1146" t="s">
        <v>1599</v>
      </c>
      <c r="M1146" t="str">
        <f>IF(Table1[[#This Row],[Quantity]]&gt;2,"Bulk Order","Normal Order")</f>
        <v>Normal Order</v>
      </c>
      <c r="N1146" t="str">
        <f>_xlfn.CONCAT(Table1[[#This Row],[Category]],"-",Table1[[#This Row],[City]])</f>
        <v>Home-Mumbai</v>
      </c>
      <c r="O1146" t="str">
        <f>LEFT(Table1[[#This Row],[Category]],3)</f>
        <v>Hom</v>
      </c>
      <c r="P1146" s="2"/>
    </row>
    <row r="1147" spans="1:16" x14ac:dyDescent="0.35">
      <c r="A1147" t="s">
        <v>1157</v>
      </c>
      <c r="B1147" t="s">
        <v>1223</v>
      </c>
      <c r="C1147" t="s">
        <v>1228</v>
      </c>
      <c r="D1147">
        <v>4994</v>
      </c>
      <c r="E1147">
        <v>4</v>
      </c>
      <c r="F1147" t="s">
        <v>1581</v>
      </c>
      <c r="G1147" t="s">
        <v>1587</v>
      </c>
      <c r="H1147" t="s">
        <v>1590</v>
      </c>
      <c r="I1147">
        <v>19976</v>
      </c>
      <c r="J1147">
        <v>30</v>
      </c>
      <c r="K1147" t="s">
        <v>1594</v>
      </c>
      <c r="L1147" t="s">
        <v>1599</v>
      </c>
      <c r="M1147" t="str">
        <f>IF(Table1[[#This Row],[Quantity]]&gt;2,"Bulk Order","Normal Order")</f>
        <v>Bulk Order</v>
      </c>
      <c r="N1147" t="str">
        <f>_xlfn.CONCAT(Table1[[#This Row],[Category]],"-",Table1[[#This Row],[City]])</f>
        <v>Electronics-Mumbai</v>
      </c>
      <c r="O1147" t="str">
        <f>LEFT(Table1[[#This Row],[Category]],3)</f>
        <v>Ele</v>
      </c>
      <c r="P1147" s="2"/>
    </row>
    <row r="1148" spans="1:16" x14ac:dyDescent="0.35">
      <c r="A1148" t="s">
        <v>1158</v>
      </c>
      <c r="B1148" t="s">
        <v>1212</v>
      </c>
      <c r="C1148" t="s">
        <v>1226</v>
      </c>
      <c r="D1148">
        <v>1786</v>
      </c>
      <c r="E1148">
        <v>3</v>
      </c>
      <c r="F1148" t="s">
        <v>1522</v>
      </c>
      <c r="G1148" t="s">
        <v>1586</v>
      </c>
      <c r="H1148" t="s">
        <v>1591</v>
      </c>
      <c r="I1148">
        <v>5358</v>
      </c>
      <c r="J1148">
        <v>64</v>
      </c>
      <c r="K1148" t="s">
        <v>1595</v>
      </c>
      <c r="L1148" t="s">
        <v>1599</v>
      </c>
      <c r="M1148" t="str">
        <f>IF(Table1[[#This Row],[Quantity]]&gt;2,"Bulk Order","Normal Order")</f>
        <v>Bulk Order</v>
      </c>
      <c r="N1148" t="str">
        <f>_xlfn.CONCAT(Table1[[#This Row],[Category]],"-",Table1[[#This Row],[City]])</f>
        <v>Home-Hyderabad</v>
      </c>
      <c r="O1148" t="str">
        <f>LEFT(Table1[[#This Row],[Category]],3)</f>
        <v>Hom</v>
      </c>
      <c r="P1148" s="2"/>
    </row>
    <row r="1149" spans="1:16" x14ac:dyDescent="0.35">
      <c r="A1149" t="s">
        <v>1159</v>
      </c>
      <c r="B1149" t="s">
        <v>1221</v>
      </c>
      <c r="C1149" t="s">
        <v>1225</v>
      </c>
      <c r="D1149">
        <v>2100</v>
      </c>
      <c r="E1149">
        <v>3</v>
      </c>
      <c r="F1149" t="s">
        <v>1242</v>
      </c>
      <c r="G1149" t="s">
        <v>1585</v>
      </c>
      <c r="H1149" t="s">
        <v>1592</v>
      </c>
      <c r="I1149">
        <v>6300</v>
      </c>
      <c r="J1149">
        <v>37</v>
      </c>
      <c r="K1149" t="s">
        <v>1595</v>
      </c>
      <c r="L1149" t="s">
        <v>1599</v>
      </c>
      <c r="M1149" t="str">
        <f>IF(Table1[[#This Row],[Quantity]]&gt;2,"Bulk Order","Normal Order")</f>
        <v>Bulk Order</v>
      </c>
      <c r="N1149" t="str">
        <f>_xlfn.CONCAT(Table1[[#This Row],[Category]],"-",Table1[[#This Row],[City]])</f>
        <v>Fitness-Kolkata</v>
      </c>
      <c r="O1149" t="str">
        <f>LEFT(Table1[[#This Row],[Category]],3)</f>
        <v>Fit</v>
      </c>
      <c r="P1149" s="2"/>
    </row>
    <row r="1150" spans="1:16" x14ac:dyDescent="0.35">
      <c r="A1150" t="s">
        <v>1160</v>
      </c>
      <c r="B1150" t="s">
        <v>1216</v>
      </c>
      <c r="C1150" t="s">
        <v>1226</v>
      </c>
      <c r="D1150">
        <v>1124</v>
      </c>
      <c r="E1150">
        <v>2</v>
      </c>
      <c r="F1150" t="s">
        <v>1579</v>
      </c>
      <c r="G1150" t="s">
        <v>1586</v>
      </c>
      <c r="H1150" t="s">
        <v>1592</v>
      </c>
      <c r="I1150">
        <v>2248</v>
      </c>
      <c r="J1150">
        <v>26</v>
      </c>
      <c r="K1150" t="s">
        <v>1595</v>
      </c>
      <c r="L1150" t="s">
        <v>1599</v>
      </c>
      <c r="M1150" t="str">
        <f>IF(Table1[[#This Row],[Quantity]]&gt;2,"Bulk Order","Normal Order")</f>
        <v>Normal Order</v>
      </c>
      <c r="N1150" t="str">
        <f>_xlfn.CONCAT(Table1[[#This Row],[Category]],"-",Table1[[#This Row],[City]])</f>
        <v>Home-Hyderabad</v>
      </c>
      <c r="O1150" t="str">
        <f>LEFT(Table1[[#This Row],[Category]],3)</f>
        <v>Hom</v>
      </c>
      <c r="P1150" s="2"/>
    </row>
    <row r="1151" spans="1:16" x14ac:dyDescent="0.35">
      <c r="A1151" t="s">
        <v>1161</v>
      </c>
      <c r="B1151" t="s">
        <v>1219</v>
      </c>
      <c r="C1151" t="s">
        <v>1224</v>
      </c>
      <c r="D1151">
        <v>2578</v>
      </c>
      <c r="E1151">
        <v>3</v>
      </c>
      <c r="F1151" t="s">
        <v>1449</v>
      </c>
      <c r="G1151" t="s">
        <v>1586</v>
      </c>
      <c r="H1151" t="s">
        <v>1590</v>
      </c>
      <c r="I1151">
        <v>7734</v>
      </c>
      <c r="J1151">
        <v>96</v>
      </c>
      <c r="K1151" t="s">
        <v>1595</v>
      </c>
      <c r="L1151" t="s">
        <v>1598</v>
      </c>
      <c r="M1151" t="str">
        <f>IF(Table1[[#This Row],[Quantity]]&gt;2,"Bulk Order","Normal Order")</f>
        <v>Bulk Order</v>
      </c>
      <c r="N1151" t="str">
        <f>_xlfn.CONCAT(Table1[[#This Row],[Category]],"-",Table1[[#This Row],[City]])</f>
        <v>Lifestyle-Hyderabad</v>
      </c>
      <c r="O1151" t="str">
        <f>LEFT(Table1[[#This Row],[Category]],3)</f>
        <v>Lif</v>
      </c>
      <c r="P1151" s="2"/>
    </row>
    <row r="1152" spans="1:16" x14ac:dyDescent="0.35">
      <c r="A1152" t="s">
        <v>1162</v>
      </c>
      <c r="B1152" t="s">
        <v>1213</v>
      </c>
      <c r="C1152" t="s">
        <v>1225</v>
      </c>
      <c r="D1152">
        <v>1674</v>
      </c>
      <c r="E1152">
        <v>2</v>
      </c>
      <c r="F1152" t="s">
        <v>1479</v>
      </c>
      <c r="G1152" t="s">
        <v>1589</v>
      </c>
      <c r="H1152" t="s">
        <v>1590</v>
      </c>
      <c r="I1152">
        <v>3348</v>
      </c>
      <c r="J1152">
        <v>23</v>
      </c>
      <c r="K1152" t="s">
        <v>1595</v>
      </c>
      <c r="L1152" t="s">
        <v>1598</v>
      </c>
      <c r="M1152" t="str">
        <f>IF(Table1[[#This Row],[Quantity]]&gt;2,"Bulk Order","Normal Order")</f>
        <v>Normal Order</v>
      </c>
      <c r="N1152" t="str">
        <f>_xlfn.CONCAT(Table1[[#This Row],[Category]],"-",Table1[[#This Row],[City]])</f>
        <v>Fitness-Bangalore</v>
      </c>
      <c r="O1152" t="str">
        <f>LEFT(Table1[[#This Row],[Category]],3)</f>
        <v>Fit</v>
      </c>
      <c r="P1152" s="2"/>
    </row>
    <row r="1153" spans="1:16" x14ac:dyDescent="0.35">
      <c r="A1153" t="s">
        <v>1163</v>
      </c>
      <c r="B1153" t="s">
        <v>1222</v>
      </c>
      <c r="C1153" t="s">
        <v>1228</v>
      </c>
      <c r="D1153">
        <v>836</v>
      </c>
      <c r="E1153">
        <v>1</v>
      </c>
      <c r="F1153" t="s">
        <v>1578</v>
      </c>
      <c r="G1153" t="s">
        <v>1589</v>
      </c>
      <c r="H1153" t="s">
        <v>1592</v>
      </c>
      <c r="I1153">
        <v>836</v>
      </c>
      <c r="J1153">
        <v>21</v>
      </c>
      <c r="K1153" t="s">
        <v>1595</v>
      </c>
      <c r="L1153" t="s">
        <v>1599</v>
      </c>
      <c r="M1153" t="str">
        <f>IF(Table1[[#This Row],[Quantity]]&gt;2,"Bulk Order","Normal Order")</f>
        <v>Normal Order</v>
      </c>
      <c r="N1153" t="str">
        <f>_xlfn.CONCAT(Table1[[#This Row],[Category]],"-",Table1[[#This Row],[City]])</f>
        <v>Electronics-Bangalore</v>
      </c>
      <c r="O1153" t="str">
        <f>LEFT(Table1[[#This Row],[Category]],3)</f>
        <v>Ele</v>
      </c>
      <c r="P1153" s="2"/>
    </row>
    <row r="1154" spans="1:16" x14ac:dyDescent="0.35">
      <c r="A1154" t="s">
        <v>1164</v>
      </c>
      <c r="B1154" t="s">
        <v>1215</v>
      </c>
      <c r="C1154" t="s">
        <v>1226</v>
      </c>
      <c r="D1154">
        <v>2354</v>
      </c>
      <c r="E1154">
        <v>4</v>
      </c>
      <c r="F1154" t="s">
        <v>1317</v>
      </c>
      <c r="G1154" t="s">
        <v>1589</v>
      </c>
      <c r="H1154" t="s">
        <v>1592</v>
      </c>
      <c r="I1154">
        <v>9416</v>
      </c>
      <c r="J1154">
        <v>99</v>
      </c>
      <c r="K1154" t="s">
        <v>1594</v>
      </c>
      <c r="L1154" t="s">
        <v>1598</v>
      </c>
      <c r="M1154" t="str">
        <f>IF(Table1[[#This Row],[Quantity]]&gt;2,"Bulk Order","Normal Order")</f>
        <v>Bulk Order</v>
      </c>
      <c r="N1154" t="str">
        <f>_xlfn.CONCAT(Table1[[#This Row],[Category]],"-",Table1[[#This Row],[City]])</f>
        <v>Home-Bangalore</v>
      </c>
      <c r="O1154" t="str">
        <f>LEFT(Table1[[#This Row],[Category]],3)</f>
        <v>Hom</v>
      </c>
      <c r="P1154" s="2"/>
    </row>
    <row r="1155" spans="1:16" x14ac:dyDescent="0.35">
      <c r="A1155" t="s">
        <v>1165</v>
      </c>
      <c r="B1155" t="s">
        <v>1216</v>
      </c>
      <c r="C1155" t="s">
        <v>1224</v>
      </c>
      <c r="D1155">
        <v>174</v>
      </c>
      <c r="E1155">
        <v>1</v>
      </c>
      <c r="F1155" t="s">
        <v>1520</v>
      </c>
      <c r="G1155" t="s">
        <v>1584</v>
      </c>
      <c r="H1155" t="s">
        <v>1591</v>
      </c>
      <c r="I1155">
        <v>174</v>
      </c>
      <c r="J1155">
        <v>70</v>
      </c>
      <c r="K1155" t="s">
        <v>1595</v>
      </c>
      <c r="L1155" t="s">
        <v>1599</v>
      </c>
      <c r="M1155" t="str">
        <f>IF(Table1[[#This Row],[Quantity]]&gt;2,"Bulk Order","Normal Order")</f>
        <v>Normal Order</v>
      </c>
      <c r="N1155" t="str">
        <f>_xlfn.CONCAT(Table1[[#This Row],[Category]],"-",Table1[[#This Row],[City]])</f>
        <v>Lifestyle-Chennai</v>
      </c>
      <c r="O1155" t="str">
        <f>LEFT(Table1[[#This Row],[Category]],3)</f>
        <v>Lif</v>
      </c>
      <c r="P1155" s="2"/>
    </row>
    <row r="1156" spans="1:16" x14ac:dyDescent="0.35">
      <c r="A1156" t="s">
        <v>1166</v>
      </c>
      <c r="B1156" t="s">
        <v>1213</v>
      </c>
      <c r="C1156" t="s">
        <v>1225</v>
      </c>
      <c r="D1156">
        <v>3382</v>
      </c>
      <c r="E1156">
        <v>3</v>
      </c>
      <c r="F1156" t="s">
        <v>1347</v>
      </c>
      <c r="G1156" t="s">
        <v>1589</v>
      </c>
      <c r="H1156" t="s">
        <v>1590</v>
      </c>
      <c r="I1156">
        <v>10146</v>
      </c>
      <c r="J1156">
        <v>39</v>
      </c>
      <c r="K1156" t="s">
        <v>1595</v>
      </c>
      <c r="L1156" t="s">
        <v>1597</v>
      </c>
      <c r="M1156" t="str">
        <f>IF(Table1[[#This Row],[Quantity]]&gt;2,"Bulk Order","Normal Order")</f>
        <v>Bulk Order</v>
      </c>
      <c r="N1156" t="str">
        <f>_xlfn.CONCAT(Table1[[#This Row],[Category]],"-",Table1[[#This Row],[City]])</f>
        <v>Fitness-Bangalore</v>
      </c>
      <c r="O1156" t="str">
        <f>LEFT(Table1[[#This Row],[Category]],3)</f>
        <v>Fit</v>
      </c>
      <c r="P1156" s="2"/>
    </row>
    <row r="1157" spans="1:16" x14ac:dyDescent="0.35">
      <c r="A1157" t="s">
        <v>1167</v>
      </c>
      <c r="B1157" t="s">
        <v>1218</v>
      </c>
      <c r="C1157" t="s">
        <v>1225</v>
      </c>
      <c r="D1157">
        <v>702</v>
      </c>
      <c r="E1157">
        <v>4</v>
      </c>
      <c r="F1157" t="s">
        <v>1416</v>
      </c>
      <c r="G1157" t="s">
        <v>1587</v>
      </c>
      <c r="H1157" t="s">
        <v>1592</v>
      </c>
      <c r="I1157">
        <v>2808</v>
      </c>
      <c r="J1157">
        <v>27</v>
      </c>
      <c r="K1157" t="s">
        <v>1594</v>
      </c>
      <c r="L1157" t="s">
        <v>1599</v>
      </c>
      <c r="M1157" t="str">
        <f>IF(Table1[[#This Row],[Quantity]]&gt;2,"Bulk Order","Normal Order")</f>
        <v>Bulk Order</v>
      </c>
      <c r="N1157" t="str">
        <f>_xlfn.CONCAT(Table1[[#This Row],[Category]],"-",Table1[[#This Row],[City]])</f>
        <v>Fitness-Mumbai</v>
      </c>
      <c r="O1157" t="str">
        <f>LEFT(Table1[[#This Row],[Category]],3)</f>
        <v>Fit</v>
      </c>
      <c r="P1157" s="2"/>
    </row>
    <row r="1158" spans="1:16" x14ac:dyDescent="0.35">
      <c r="A1158" t="s">
        <v>1168</v>
      </c>
      <c r="B1158" t="s">
        <v>1214</v>
      </c>
      <c r="C1158" t="s">
        <v>1228</v>
      </c>
      <c r="D1158">
        <v>2911</v>
      </c>
      <c r="E1158">
        <v>2</v>
      </c>
      <c r="F1158" t="s">
        <v>1582</v>
      </c>
      <c r="G1158" t="s">
        <v>1584</v>
      </c>
      <c r="H1158" t="s">
        <v>1590</v>
      </c>
      <c r="I1158">
        <v>5822</v>
      </c>
      <c r="J1158">
        <v>42</v>
      </c>
      <c r="K1158" t="s">
        <v>1595</v>
      </c>
      <c r="L1158" t="s">
        <v>1598</v>
      </c>
      <c r="M1158" t="str">
        <f>IF(Table1[[#This Row],[Quantity]]&gt;2,"Bulk Order","Normal Order")</f>
        <v>Normal Order</v>
      </c>
      <c r="N1158" t="str">
        <f>_xlfn.CONCAT(Table1[[#This Row],[Category]],"-",Table1[[#This Row],[City]])</f>
        <v>Electronics-Chennai</v>
      </c>
      <c r="O1158" t="str">
        <f>LEFT(Table1[[#This Row],[Category]],3)</f>
        <v>Ele</v>
      </c>
      <c r="P1158" s="2"/>
    </row>
    <row r="1159" spans="1:16" x14ac:dyDescent="0.35">
      <c r="A1159" t="s">
        <v>1169</v>
      </c>
      <c r="B1159" t="s">
        <v>1216</v>
      </c>
      <c r="C1159" t="s">
        <v>1227</v>
      </c>
      <c r="D1159">
        <v>1270</v>
      </c>
      <c r="E1159">
        <v>4</v>
      </c>
      <c r="F1159" t="s">
        <v>1309</v>
      </c>
      <c r="G1159" t="s">
        <v>1584</v>
      </c>
      <c r="H1159" t="s">
        <v>1593</v>
      </c>
      <c r="I1159">
        <v>5080</v>
      </c>
      <c r="J1159">
        <v>69</v>
      </c>
      <c r="K1159" t="s">
        <v>1595</v>
      </c>
      <c r="L1159" t="s">
        <v>1598</v>
      </c>
      <c r="M1159" t="str">
        <f>IF(Table1[[#This Row],[Quantity]]&gt;2,"Bulk Order","Normal Order")</f>
        <v>Bulk Order</v>
      </c>
      <c r="N1159" t="str">
        <f>_xlfn.CONCAT(Table1[[#This Row],[Category]],"-",Table1[[#This Row],[City]])</f>
        <v>Accessories-Chennai</v>
      </c>
      <c r="O1159" t="str">
        <f>LEFT(Table1[[#This Row],[Category]],3)</f>
        <v>Acc</v>
      </c>
      <c r="P1159" s="2"/>
    </row>
    <row r="1160" spans="1:16" x14ac:dyDescent="0.35">
      <c r="A1160" t="s">
        <v>1170</v>
      </c>
      <c r="B1160" t="s">
        <v>1213</v>
      </c>
      <c r="C1160" t="s">
        <v>1228</v>
      </c>
      <c r="D1160">
        <v>577</v>
      </c>
      <c r="E1160">
        <v>1</v>
      </c>
      <c r="F1160" t="s">
        <v>1497</v>
      </c>
      <c r="G1160" t="s">
        <v>1585</v>
      </c>
      <c r="H1160" t="s">
        <v>1591</v>
      </c>
      <c r="I1160">
        <v>577</v>
      </c>
      <c r="J1160">
        <v>76</v>
      </c>
      <c r="K1160" t="s">
        <v>1596</v>
      </c>
      <c r="L1160" t="s">
        <v>1598</v>
      </c>
      <c r="M1160" t="str">
        <f>IF(Table1[[#This Row],[Quantity]]&gt;2,"Bulk Order","Normal Order")</f>
        <v>Normal Order</v>
      </c>
      <c r="N1160" t="str">
        <f>_xlfn.CONCAT(Table1[[#This Row],[Category]],"-",Table1[[#This Row],[City]])</f>
        <v>Electronics-Kolkata</v>
      </c>
      <c r="O1160" t="str">
        <f>LEFT(Table1[[#This Row],[Category]],3)</f>
        <v>Ele</v>
      </c>
      <c r="P1160" s="2"/>
    </row>
    <row r="1161" spans="1:16" x14ac:dyDescent="0.35">
      <c r="A1161" t="s">
        <v>1171</v>
      </c>
      <c r="B1161" t="s">
        <v>1218</v>
      </c>
      <c r="C1161" t="s">
        <v>1225</v>
      </c>
      <c r="D1161">
        <v>3473</v>
      </c>
      <c r="E1161">
        <v>4</v>
      </c>
      <c r="F1161" t="s">
        <v>1341</v>
      </c>
      <c r="G1161" t="s">
        <v>1585</v>
      </c>
      <c r="H1161" t="s">
        <v>1590</v>
      </c>
      <c r="I1161">
        <v>13892</v>
      </c>
      <c r="J1161">
        <v>28</v>
      </c>
      <c r="K1161" t="s">
        <v>1596</v>
      </c>
      <c r="L1161" t="s">
        <v>1599</v>
      </c>
      <c r="M1161" t="str">
        <f>IF(Table1[[#This Row],[Quantity]]&gt;2,"Bulk Order","Normal Order")</f>
        <v>Bulk Order</v>
      </c>
      <c r="N1161" t="str">
        <f>_xlfn.CONCAT(Table1[[#This Row],[Category]],"-",Table1[[#This Row],[City]])</f>
        <v>Fitness-Kolkata</v>
      </c>
      <c r="O1161" t="str">
        <f>LEFT(Table1[[#This Row],[Category]],3)</f>
        <v>Fit</v>
      </c>
      <c r="P1161" s="2"/>
    </row>
    <row r="1162" spans="1:16" x14ac:dyDescent="0.35">
      <c r="A1162" t="s">
        <v>1172</v>
      </c>
      <c r="B1162" t="s">
        <v>1219</v>
      </c>
      <c r="C1162" t="s">
        <v>1226</v>
      </c>
      <c r="D1162">
        <v>1143</v>
      </c>
      <c r="E1162">
        <v>4</v>
      </c>
      <c r="F1162" t="s">
        <v>1284</v>
      </c>
      <c r="G1162" t="s">
        <v>1586</v>
      </c>
      <c r="H1162" t="s">
        <v>1593</v>
      </c>
      <c r="I1162">
        <v>4572</v>
      </c>
      <c r="J1162">
        <v>98</v>
      </c>
      <c r="K1162" t="s">
        <v>1594</v>
      </c>
      <c r="L1162" t="s">
        <v>1597</v>
      </c>
      <c r="M1162" t="str">
        <f>IF(Table1[[#This Row],[Quantity]]&gt;2,"Bulk Order","Normal Order")</f>
        <v>Bulk Order</v>
      </c>
      <c r="N1162" t="str">
        <f>_xlfn.CONCAT(Table1[[#This Row],[Category]],"-",Table1[[#This Row],[City]])</f>
        <v>Home-Hyderabad</v>
      </c>
      <c r="O1162" t="str">
        <f>LEFT(Table1[[#This Row],[Category]],3)</f>
        <v>Hom</v>
      </c>
      <c r="P1162" s="2"/>
    </row>
    <row r="1163" spans="1:16" x14ac:dyDescent="0.35">
      <c r="A1163" t="s">
        <v>1173</v>
      </c>
      <c r="B1163" t="s">
        <v>1220</v>
      </c>
      <c r="C1163" t="s">
        <v>1227</v>
      </c>
      <c r="D1163">
        <v>4540</v>
      </c>
      <c r="E1163">
        <v>4</v>
      </c>
      <c r="F1163" t="s">
        <v>1573</v>
      </c>
      <c r="G1163" t="s">
        <v>1585</v>
      </c>
      <c r="H1163" t="s">
        <v>1591</v>
      </c>
      <c r="I1163">
        <v>18160</v>
      </c>
      <c r="J1163">
        <v>76</v>
      </c>
      <c r="K1163" t="s">
        <v>1595</v>
      </c>
      <c r="L1163" t="s">
        <v>1597</v>
      </c>
      <c r="M1163" t="str">
        <f>IF(Table1[[#This Row],[Quantity]]&gt;2,"Bulk Order","Normal Order")</f>
        <v>Bulk Order</v>
      </c>
      <c r="N1163" t="str">
        <f>_xlfn.CONCAT(Table1[[#This Row],[Category]],"-",Table1[[#This Row],[City]])</f>
        <v>Accessories-Kolkata</v>
      </c>
      <c r="O1163" t="str">
        <f>LEFT(Table1[[#This Row],[Category]],3)</f>
        <v>Acc</v>
      </c>
      <c r="P1163" s="2"/>
    </row>
    <row r="1164" spans="1:16" x14ac:dyDescent="0.35">
      <c r="A1164" t="s">
        <v>1174</v>
      </c>
      <c r="B1164" t="s">
        <v>1221</v>
      </c>
      <c r="C1164" t="s">
        <v>1224</v>
      </c>
      <c r="D1164">
        <v>2998</v>
      </c>
      <c r="E1164">
        <v>3</v>
      </c>
      <c r="F1164" t="s">
        <v>1361</v>
      </c>
      <c r="G1164" t="s">
        <v>1585</v>
      </c>
      <c r="H1164" t="s">
        <v>1592</v>
      </c>
      <c r="I1164">
        <v>8994</v>
      </c>
      <c r="J1164">
        <v>92</v>
      </c>
      <c r="K1164" t="s">
        <v>1595</v>
      </c>
      <c r="L1164" t="s">
        <v>1599</v>
      </c>
      <c r="M1164" t="str">
        <f>IF(Table1[[#This Row],[Quantity]]&gt;2,"Bulk Order","Normal Order")</f>
        <v>Bulk Order</v>
      </c>
      <c r="N1164" t="str">
        <f>_xlfn.CONCAT(Table1[[#This Row],[Category]],"-",Table1[[#This Row],[City]])</f>
        <v>Lifestyle-Kolkata</v>
      </c>
      <c r="O1164" t="str">
        <f>LEFT(Table1[[#This Row],[Category]],3)</f>
        <v>Lif</v>
      </c>
      <c r="P1164" s="2"/>
    </row>
    <row r="1165" spans="1:16" x14ac:dyDescent="0.35">
      <c r="A1165" t="s">
        <v>1175</v>
      </c>
      <c r="B1165" t="s">
        <v>1215</v>
      </c>
      <c r="C1165" t="s">
        <v>1226</v>
      </c>
      <c r="D1165">
        <v>2749</v>
      </c>
      <c r="E1165">
        <v>4</v>
      </c>
      <c r="F1165" t="s">
        <v>1423</v>
      </c>
      <c r="G1165" t="s">
        <v>1586</v>
      </c>
      <c r="H1165" t="s">
        <v>1591</v>
      </c>
      <c r="I1165">
        <v>10996</v>
      </c>
      <c r="J1165">
        <v>51</v>
      </c>
      <c r="K1165" t="s">
        <v>1595</v>
      </c>
      <c r="L1165" t="s">
        <v>1599</v>
      </c>
      <c r="M1165" t="str">
        <f>IF(Table1[[#This Row],[Quantity]]&gt;2,"Bulk Order","Normal Order")</f>
        <v>Bulk Order</v>
      </c>
      <c r="N1165" t="str">
        <f>_xlfn.CONCAT(Table1[[#This Row],[Category]],"-",Table1[[#This Row],[City]])</f>
        <v>Home-Hyderabad</v>
      </c>
      <c r="O1165" t="str">
        <f>LEFT(Table1[[#This Row],[Category]],3)</f>
        <v>Hom</v>
      </c>
      <c r="P1165" s="2"/>
    </row>
    <row r="1166" spans="1:16" x14ac:dyDescent="0.35">
      <c r="A1166" t="s">
        <v>1176</v>
      </c>
      <c r="B1166" t="s">
        <v>1213</v>
      </c>
      <c r="C1166" t="s">
        <v>1228</v>
      </c>
      <c r="D1166">
        <v>599</v>
      </c>
      <c r="E1166">
        <v>1</v>
      </c>
      <c r="F1166" t="s">
        <v>1297</v>
      </c>
      <c r="G1166" t="s">
        <v>1585</v>
      </c>
      <c r="H1166" t="s">
        <v>1593</v>
      </c>
      <c r="I1166">
        <v>599</v>
      </c>
      <c r="J1166">
        <v>22</v>
      </c>
      <c r="K1166" t="s">
        <v>1595</v>
      </c>
      <c r="L1166" t="s">
        <v>1599</v>
      </c>
      <c r="M1166" t="str">
        <f>IF(Table1[[#This Row],[Quantity]]&gt;2,"Bulk Order","Normal Order")</f>
        <v>Normal Order</v>
      </c>
      <c r="N1166" t="str">
        <f>_xlfn.CONCAT(Table1[[#This Row],[Category]],"-",Table1[[#This Row],[City]])</f>
        <v>Electronics-Kolkata</v>
      </c>
      <c r="O1166" t="str">
        <f>LEFT(Table1[[#This Row],[Category]],3)</f>
        <v>Ele</v>
      </c>
      <c r="P1166" s="2"/>
    </row>
    <row r="1167" spans="1:16" x14ac:dyDescent="0.35">
      <c r="A1167" t="s">
        <v>1177</v>
      </c>
      <c r="B1167" t="s">
        <v>1213</v>
      </c>
      <c r="C1167" t="s">
        <v>1226</v>
      </c>
      <c r="D1167">
        <v>3422</v>
      </c>
      <c r="E1167">
        <v>4</v>
      </c>
      <c r="F1167" t="s">
        <v>1382</v>
      </c>
      <c r="G1167" t="s">
        <v>1586</v>
      </c>
      <c r="H1167" t="s">
        <v>1593</v>
      </c>
      <c r="I1167">
        <v>13688</v>
      </c>
      <c r="J1167">
        <v>59</v>
      </c>
      <c r="K1167" t="s">
        <v>1595</v>
      </c>
      <c r="L1167" t="s">
        <v>1598</v>
      </c>
      <c r="M1167" t="str">
        <f>IF(Table1[[#This Row],[Quantity]]&gt;2,"Bulk Order","Normal Order")</f>
        <v>Bulk Order</v>
      </c>
      <c r="N1167" t="str">
        <f>_xlfn.CONCAT(Table1[[#This Row],[Category]],"-",Table1[[#This Row],[City]])</f>
        <v>Home-Hyderabad</v>
      </c>
      <c r="O1167" t="str">
        <f>LEFT(Table1[[#This Row],[Category]],3)</f>
        <v>Hom</v>
      </c>
      <c r="P1167" s="2"/>
    </row>
    <row r="1168" spans="1:16" x14ac:dyDescent="0.35">
      <c r="A1168" t="s">
        <v>1178</v>
      </c>
      <c r="B1168" t="s">
        <v>1218</v>
      </c>
      <c r="C1168" t="s">
        <v>1228</v>
      </c>
      <c r="D1168">
        <v>3679</v>
      </c>
      <c r="E1168">
        <v>1</v>
      </c>
      <c r="F1168" t="s">
        <v>1442</v>
      </c>
      <c r="G1168" t="s">
        <v>1587</v>
      </c>
      <c r="H1168" t="s">
        <v>1590</v>
      </c>
      <c r="I1168">
        <v>3679</v>
      </c>
      <c r="J1168">
        <v>99</v>
      </c>
      <c r="K1168" t="s">
        <v>1594</v>
      </c>
      <c r="L1168" t="s">
        <v>1598</v>
      </c>
      <c r="M1168" t="str">
        <f>IF(Table1[[#This Row],[Quantity]]&gt;2,"Bulk Order","Normal Order")</f>
        <v>Normal Order</v>
      </c>
      <c r="N1168" t="str">
        <f>_xlfn.CONCAT(Table1[[#This Row],[Category]],"-",Table1[[#This Row],[City]])</f>
        <v>Electronics-Mumbai</v>
      </c>
      <c r="O1168" t="str">
        <f>LEFT(Table1[[#This Row],[Category]],3)</f>
        <v>Ele</v>
      </c>
      <c r="P1168" s="2"/>
    </row>
    <row r="1169" spans="1:16" x14ac:dyDescent="0.35">
      <c r="A1169" t="s">
        <v>1179</v>
      </c>
      <c r="B1169" t="s">
        <v>1223</v>
      </c>
      <c r="C1169" t="s">
        <v>1227</v>
      </c>
      <c r="D1169">
        <v>1965</v>
      </c>
      <c r="E1169">
        <v>4</v>
      </c>
      <c r="F1169" t="s">
        <v>1501</v>
      </c>
      <c r="G1169" t="s">
        <v>1588</v>
      </c>
      <c r="H1169" t="s">
        <v>1591</v>
      </c>
      <c r="I1169">
        <v>7860</v>
      </c>
      <c r="J1169">
        <v>91</v>
      </c>
      <c r="K1169" t="s">
        <v>1595</v>
      </c>
      <c r="L1169" t="s">
        <v>1598</v>
      </c>
      <c r="M1169" t="str">
        <f>IF(Table1[[#This Row],[Quantity]]&gt;2,"Bulk Order","Normal Order")</f>
        <v>Bulk Order</v>
      </c>
      <c r="N1169" t="str">
        <f>_xlfn.CONCAT(Table1[[#This Row],[Category]],"-",Table1[[#This Row],[City]])</f>
        <v>Accessories-Delhi</v>
      </c>
      <c r="O1169" t="str">
        <f>LEFT(Table1[[#This Row],[Category]],3)</f>
        <v>Acc</v>
      </c>
      <c r="P1169" s="2"/>
    </row>
    <row r="1170" spans="1:16" x14ac:dyDescent="0.35">
      <c r="A1170" t="s">
        <v>1180</v>
      </c>
      <c r="B1170" t="s">
        <v>1221</v>
      </c>
      <c r="C1170" t="s">
        <v>1225</v>
      </c>
      <c r="D1170">
        <v>664</v>
      </c>
      <c r="E1170">
        <v>4</v>
      </c>
      <c r="F1170" t="s">
        <v>1425</v>
      </c>
      <c r="G1170" t="s">
        <v>1589</v>
      </c>
      <c r="H1170" t="s">
        <v>1591</v>
      </c>
      <c r="I1170">
        <v>2656</v>
      </c>
      <c r="J1170">
        <v>21</v>
      </c>
      <c r="K1170" t="s">
        <v>1595</v>
      </c>
      <c r="L1170" t="s">
        <v>1599</v>
      </c>
      <c r="M1170" t="str">
        <f>IF(Table1[[#This Row],[Quantity]]&gt;2,"Bulk Order","Normal Order")</f>
        <v>Bulk Order</v>
      </c>
      <c r="N1170" t="str">
        <f>_xlfn.CONCAT(Table1[[#This Row],[Category]],"-",Table1[[#This Row],[City]])</f>
        <v>Fitness-Bangalore</v>
      </c>
      <c r="O1170" t="str">
        <f>LEFT(Table1[[#This Row],[Category]],3)</f>
        <v>Fit</v>
      </c>
      <c r="P1170" s="2"/>
    </row>
    <row r="1171" spans="1:16" x14ac:dyDescent="0.35">
      <c r="A1171" t="s">
        <v>1181</v>
      </c>
      <c r="B1171" t="s">
        <v>1214</v>
      </c>
      <c r="C1171" t="s">
        <v>1227</v>
      </c>
      <c r="D1171">
        <v>3320</v>
      </c>
      <c r="E1171">
        <v>3</v>
      </c>
      <c r="F1171" t="s">
        <v>1543</v>
      </c>
      <c r="G1171" t="s">
        <v>1585</v>
      </c>
      <c r="H1171" t="s">
        <v>1591</v>
      </c>
      <c r="I1171">
        <v>9960</v>
      </c>
      <c r="J1171">
        <v>49</v>
      </c>
      <c r="K1171" t="s">
        <v>1595</v>
      </c>
      <c r="L1171" t="s">
        <v>1598</v>
      </c>
      <c r="M1171" t="str">
        <f>IF(Table1[[#This Row],[Quantity]]&gt;2,"Bulk Order","Normal Order")</f>
        <v>Bulk Order</v>
      </c>
      <c r="N1171" t="str">
        <f>_xlfn.CONCAT(Table1[[#This Row],[Category]],"-",Table1[[#This Row],[City]])</f>
        <v>Accessories-Kolkata</v>
      </c>
      <c r="O1171" t="str">
        <f>LEFT(Table1[[#This Row],[Category]],3)</f>
        <v>Acc</v>
      </c>
      <c r="P1171" s="2"/>
    </row>
    <row r="1172" spans="1:16" x14ac:dyDescent="0.35">
      <c r="A1172" t="s">
        <v>1182</v>
      </c>
      <c r="B1172" t="s">
        <v>1218</v>
      </c>
      <c r="C1172" t="s">
        <v>1225</v>
      </c>
      <c r="D1172">
        <v>4502</v>
      </c>
      <c r="E1172">
        <v>2</v>
      </c>
      <c r="F1172" t="s">
        <v>1426</v>
      </c>
      <c r="G1172" t="s">
        <v>1586</v>
      </c>
      <c r="H1172" t="s">
        <v>1593</v>
      </c>
      <c r="I1172">
        <v>9004</v>
      </c>
      <c r="J1172">
        <v>25</v>
      </c>
      <c r="K1172" t="s">
        <v>1594</v>
      </c>
      <c r="L1172" t="s">
        <v>1599</v>
      </c>
      <c r="M1172" t="str">
        <f>IF(Table1[[#This Row],[Quantity]]&gt;2,"Bulk Order","Normal Order")</f>
        <v>Normal Order</v>
      </c>
      <c r="N1172" t="str">
        <f>_xlfn.CONCAT(Table1[[#This Row],[Category]],"-",Table1[[#This Row],[City]])</f>
        <v>Fitness-Hyderabad</v>
      </c>
      <c r="O1172" t="str">
        <f>LEFT(Table1[[#This Row],[Category]],3)</f>
        <v>Fit</v>
      </c>
      <c r="P1172" s="2"/>
    </row>
    <row r="1173" spans="1:16" x14ac:dyDescent="0.35">
      <c r="A1173" t="s">
        <v>1183</v>
      </c>
      <c r="B1173" t="s">
        <v>1219</v>
      </c>
      <c r="C1173" t="s">
        <v>1224</v>
      </c>
      <c r="D1173">
        <v>4924</v>
      </c>
      <c r="E1173">
        <v>3</v>
      </c>
      <c r="F1173" t="s">
        <v>1294</v>
      </c>
      <c r="G1173" t="s">
        <v>1586</v>
      </c>
      <c r="H1173" t="s">
        <v>1592</v>
      </c>
      <c r="I1173">
        <v>14772</v>
      </c>
      <c r="J1173">
        <v>27</v>
      </c>
      <c r="K1173" t="s">
        <v>1594</v>
      </c>
      <c r="L1173" t="s">
        <v>1598</v>
      </c>
      <c r="M1173" t="str">
        <f>IF(Table1[[#This Row],[Quantity]]&gt;2,"Bulk Order","Normal Order")</f>
        <v>Bulk Order</v>
      </c>
      <c r="N1173" t="str">
        <f>_xlfn.CONCAT(Table1[[#This Row],[Category]],"-",Table1[[#This Row],[City]])</f>
        <v>Lifestyle-Hyderabad</v>
      </c>
      <c r="O1173" t="str">
        <f>LEFT(Table1[[#This Row],[Category]],3)</f>
        <v>Lif</v>
      </c>
      <c r="P1173" s="2"/>
    </row>
    <row r="1174" spans="1:16" x14ac:dyDescent="0.35">
      <c r="A1174" t="s">
        <v>1184</v>
      </c>
      <c r="B1174" t="s">
        <v>1214</v>
      </c>
      <c r="C1174" t="s">
        <v>1228</v>
      </c>
      <c r="D1174">
        <v>4024</v>
      </c>
      <c r="E1174">
        <v>2</v>
      </c>
      <c r="F1174" t="s">
        <v>1472</v>
      </c>
      <c r="G1174" t="s">
        <v>1588</v>
      </c>
      <c r="H1174" t="s">
        <v>1593</v>
      </c>
      <c r="I1174">
        <v>8048</v>
      </c>
      <c r="J1174">
        <v>67</v>
      </c>
      <c r="K1174" t="s">
        <v>1595</v>
      </c>
      <c r="L1174" t="s">
        <v>1598</v>
      </c>
      <c r="M1174" t="str">
        <f>IF(Table1[[#This Row],[Quantity]]&gt;2,"Bulk Order","Normal Order")</f>
        <v>Normal Order</v>
      </c>
      <c r="N1174" t="str">
        <f>_xlfn.CONCAT(Table1[[#This Row],[Category]],"-",Table1[[#This Row],[City]])</f>
        <v>Electronics-Delhi</v>
      </c>
      <c r="O1174" t="str">
        <f>LEFT(Table1[[#This Row],[Category]],3)</f>
        <v>Ele</v>
      </c>
      <c r="P1174" s="2"/>
    </row>
    <row r="1175" spans="1:16" x14ac:dyDescent="0.35">
      <c r="A1175" t="s">
        <v>1185</v>
      </c>
      <c r="B1175" t="s">
        <v>1219</v>
      </c>
      <c r="C1175" t="s">
        <v>1226</v>
      </c>
      <c r="D1175">
        <v>2822</v>
      </c>
      <c r="E1175">
        <v>1</v>
      </c>
      <c r="F1175" t="s">
        <v>1343</v>
      </c>
      <c r="G1175" t="s">
        <v>1587</v>
      </c>
      <c r="H1175" t="s">
        <v>1591</v>
      </c>
      <c r="I1175">
        <v>2822</v>
      </c>
      <c r="J1175">
        <v>44</v>
      </c>
      <c r="K1175" t="s">
        <v>1595</v>
      </c>
      <c r="L1175" t="s">
        <v>1599</v>
      </c>
      <c r="M1175" t="str">
        <f>IF(Table1[[#This Row],[Quantity]]&gt;2,"Bulk Order","Normal Order")</f>
        <v>Normal Order</v>
      </c>
      <c r="N1175" t="str">
        <f>_xlfn.CONCAT(Table1[[#This Row],[Category]],"-",Table1[[#This Row],[City]])</f>
        <v>Home-Mumbai</v>
      </c>
      <c r="O1175" t="str">
        <f>LEFT(Table1[[#This Row],[Category]],3)</f>
        <v>Hom</v>
      </c>
      <c r="P1175" s="2"/>
    </row>
    <row r="1176" spans="1:16" x14ac:dyDescent="0.35">
      <c r="A1176" t="s">
        <v>1186</v>
      </c>
      <c r="B1176" t="s">
        <v>1212</v>
      </c>
      <c r="C1176" t="s">
        <v>1224</v>
      </c>
      <c r="D1176">
        <v>3708</v>
      </c>
      <c r="E1176">
        <v>3</v>
      </c>
      <c r="F1176" t="s">
        <v>1444</v>
      </c>
      <c r="G1176" t="s">
        <v>1588</v>
      </c>
      <c r="H1176" t="s">
        <v>1590</v>
      </c>
      <c r="I1176">
        <v>11124</v>
      </c>
      <c r="J1176">
        <v>39</v>
      </c>
      <c r="K1176" t="s">
        <v>1594</v>
      </c>
      <c r="L1176" t="s">
        <v>1598</v>
      </c>
      <c r="M1176" t="str">
        <f>IF(Table1[[#This Row],[Quantity]]&gt;2,"Bulk Order","Normal Order")</f>
        <v>Bulk Order</v>
      </c>
      <c r="N1176" t="str">
        <f>_xlfn.CONCAT(Table1[[#This Row],[Category]],"-",Table1[[#This Row],[City]])</f>
        <v>Lifestyle-Delhi</v>
      </c>
      <c r="O1176" t="str">
        <f>LEFT(Table1[[#This Row],[Category]],3)</f>
        <v>Lif</v>
      </c>
      <c r="P1176" s="2"/>
    </row>
    <row r="1177" spans="1:16" x14ac:dyDescent="0.35">
      <c r="A1177" t="s">
        <v>1187</v>
      </c>
      <c r="B1177" t="s">
        <v>1217</v>
      </c>
      <c r="C1177" t="s">
        <v>1227</v>
      </c>
      <c r="D1177">
        <v>2788</v>
      </c>
      <c r="E1177">
        <v>3</v>
      </c>
      <c r="F1177" t="s">
        <v>1254</v>
      </c>
      <c r="G1177" t="s">
        <v>1586</v>
      </c>
      <c r="H1177" t="s">
        <v>1593</v>
      </c>
      <c r="I1177">
        <v>8364</v>
      </c>
      <c r="J1177">
        <v>75</v>
      </c>
      <c r="K1177" t="s">
        <v>1595</v>
      </c>
      <c r="L1177" t="s">
        <v>1597</v>
      </c>
      <c r="M1177" t="str">
        <f>IF(Table1[[#This Row],[Quantity]]&gt;2,"Bulk Order","Normal Order")</f>
        <v>Bulk Order</v>
      </c>
      <c r="N1177" t="str">
        <f>_xlfn.CONCAT(Table1[[#This Row],[Category]],"-",Table1[[#This Row],[City]])</f>
        <v>Accessories-Hyderabad</v>
      </c>
      <c r="O1177" t="str">
        <f>LEFT(Table1[[#This Row],[Category]],3)</f>
        <v>Acc</v>
      </c>
      <c r="P1177" s="2"/>
    </row>
    <row r="1178" spans="1:16" x14ac:dyDescent="0.35">
      <c r="A1178" t="s">
        <v>1188</v>
      </c>
      <c r="B1178" t="s">
        <v>1217</v>
      </c>
      <c r="C1178" t="s">
        <v>1226</v>
      </c>
      <c r="D1178">
        <v>2616</v>
      </c>
      <c r="E1178">
        <v>1</v>
      </c>
      <c r="F1178" t="s">
        <v>1491</v>
      </c>
      <c r="G1178" t="s">
        <v>1588</v>
      </c>
      <c r="H1178" t="s">
        <v>1592</v>
      </c>
      <c r="I1178">
        <v>2616</v>
      </c>
      <c r="J1178">
        <v>34</v>
      </c>
      <c r="K1178" t="s">
        <v>1594</v>
      </c>
      <c r="L1178" t="s">
        <v>1599</v>
      </c>
      <c r="M1178" t="str">
        <f>IF(Table1[[#This Row],[Quantity]]&gt;2,"Bulk Order","Normal Order")</f>
        <v>Normal Order</v>
      </c>
      <c r="N1178" t="str">
        <f>_xlfn.CONCAT(Table1[[#This Row],[Category]],"-",Table1[[#This Row],[City]])</f>
        <v>Home-Delhi</v>
      </c>
      <c r="O1178" t="str">
        <f>LEFT(Table1[[#This Row],[Category]],3)</f>
        <v>Hom</v>
      </c>
      <c r="P1178" s="2"/>
    </row>
    <row r="1179" spans="1:16" x14ac:dyDescent="0.35">
      <c r="A1179" t="s">
        <v>1189</v>
      </c>
      <c r="B1179" t="s">
        <v>1212</v>
      </c>
      <c r="C1179" t="s">
        <v>1227</v>
      </c>
      <c r="D1179">
        <v>4661</v>
      </c>
      <c r="E1179">
        <v>1</v>
      </c>
      <c r="F1179" t="s">
        <v>1514</v>
      </c>
      <c r="G1179" t="s">
        <v>1589</v>
      </c>
      <c r="H1179" t="s">
        <v>1590</v>
      </c>
      <c r="I1179">
        <v>4661</v>
      </c>
      <c r="J1179">
        <v>60</v>
      </c>
      <c r="K1179" t="s">
        <v>1595</v>
      </c>
      <c r="L1179" t="s">
        <v>1598</v>
      </c>
      <c r="M1179" t="str">
        <f>IF(Table1[[#This Row],[Quantity]]&gt;2,"Bulk Order","Normal Order")</f>
        <v>Normal Order</v>
      </c>
      <c r="N1179" t="str">
        <f>_xlfn.CONCAT(Table1[[#This Row],[Category]],"-",Table1[[#This Row],[City]])</f>
        <v>Accessories-Bangalore</v>
      </c>
      <c r="O1179" t="str">
        <f>LEFT(Table1[[#This Row],[Category]],3)</f>
        <v>Acc</v>
      </c>
      <c r="P1179" s="2"/>
    </row>
    <row r="1180" spans="1:16" x14ac:dyDescent="0.35">
      <c r="A1180" t="s">
        <v>1190</v>
      </c>
      <c r="B1180" t="s">
        <v>1221</v>
      </c>
      <c r="C1180" t="s">
        <v>1228</v>
      </c>
      <c r="D1180">
        <v>755</v>
      </c>
      <c r="E1180">
        <v>2</v>
      </c>
      <c r="F1180" t="s">
        <v>1441</v>
      </c>
      <c r="G1180" t="s">
        <v>1585</v>
      </c>
      <c r="H1180" t="s">
        <v>1592</v>
      </c>
      <c r="I1180">
        <v>1510</v>
      </c>
      <c r="J1180">
        <v>95</v>
      </c>
      <c r="K1180" t="s">
        <v>1595</v>
      </c>
      <c r="L1180" t="s">
        <v>1599</v>
      </c>
      <c r="M1180" t="str">
        <f>IF(Table1[[#This Row],[Quantity]]&gt;2,"Bulk Order","Normal Order")</f>
        <v>Normal Order</v>
      </c>
      <c r="N1180" t="str">
        <f>_xlfn.CONCAT(Table1[[#This Row],[Category]],"-",Table1[[#This Row],[City]])</f>
        <v>Electronics-Kolkata</v>
      </c>
      <c r="O1180" t="str">
        <f>LEFT(Table1[[#This Row],[Category]],3)</f>
        <v>Ele</v>
      </c>
      <c r="P1180" s="2"/>
    </row>
    <row r="1181" spans="1:16" x14ac:dyDescent="0.35">
      <c r="A1181" t="s">
        <v>1191</v>
      </c>
      <c r="B1181" t="s">
        <v>1221</v>
      </c>
      <c r="C1181" t="s">
        <v>1226</v>
      </c>
      <c r="D1181">
        <v>1227</v>
      </c>
      <c r="E1181">
        <v>3</v>
      </c>
      <c r="F1181" t="s">
        <v>1285</v>
      </c>
      <c r="G1181" t="s">
        <v>1587</v>
      </c>
      <c r="H1181" t="s">
        <v>1590</v>
      </c>
      <c r="I1181">
        <v>3681</v>
      </c>
      <c r="J1181">
        <v>44</v>
      </c>
      <c r="K1181" t="s">
        <v>1595</v>
      </c>
      <c r="L1181" t="s">
        <v>1599</v>
      </c>
      <c r="M1181" t="str">
        <f>IF(Table1[[#This Row],[Quantity]]&gt;2,"Bulk Order","Normal Order")</f>
        <v>Bulk Order</v>
      </c>
      <c r="N1181" t="str">
        <f>_xlfn.CONCAT(Table1[[#This Row],[Category]],"-",Table1[[#This Row],[City]])</f>
        <v>Home-Mumbai</v>
      </c>
      <c r="O1181" t="str">
        <f>LEFT(Table1[[#This Row],[Category]],3)</f>
        <v>Hom</v>
      </c>
      <c r="P1181" s="2"/>
    </row>
    <row r="1182" spans="1:16" x14ac:dyDescent="0.35">
      <c r="A1182" t="s">
        <v>1192</v>
      </c>
      <c r="B1182" t="s">
        <v>1213</v>
      </c>
      <c r="C1182" t="s">
        <v>1226</v>
      </c>
      <c r="D1182">
        <v>3775</v>
      </c>
      <c r="E1182">
        <v>4</v>
      </c>
      <c r="F1182" t="s">
        <v>1447</v>
      </c>
      <c r="G1182" t="s">
        <v>1584</v>
      </c>
      <c r="H1182" t="s">
        <v>1591</v>
      </c>
      <c r="I1182">
        <v>15100</v>
      </c>
      <c r="J1182">
        <v>76</v>
      </c>
      <c r="K1182" t="s">
        <v>1595</v>
      </c>
      <c r="L1182" t="s">
        <v>1599</v>
      </c>
      <c r="M1182" t="str">
        <f>IF(Table1[[#This Row],[Quantity]]&gt;2,"Bulk Order","Normal Order")</f>
        <v>Bulk Order</v>
      </c>
      <c r="N1182" t="str">
        <f>_xlfn.CONCAT(Table1[[#This Row],[Category]],"-",Table1[[#This Row],[City]])</f>
        <v>Home-Chennai</v>
      </c>
      <c r="O1182" t="str">
        <f>LEFT(Table1[[#This Row],[Category]],3)</f>
        <v>Hom</v>
      </c>
      <c r="P1182" s="2"/>
    </row>
    <row r="1183" spans="1:16" x14ac:dyDescent="0.35">
      <c r="A1183" t="s">
        <v>1193</v>
      </c>
      <c r="B1183" t="s">
        <v>1215</v>
      </c>
      <c r="C1183" t="s">
        <v>1226</v>
      </c>
      <c r="D1183">
        <v>443</v>
      </c>
      <c r="E1183">
        <v>4</v>
      </c>
      <c r="F1183" t="s">
        <v>1258</v>
      </c>
      <c r="G1183" t="s">
        <v>1589</v>
      </c>
      <c r="H1183" t="s">
        <v>1593</v>
      </c>
      <c r="I1183">
        <v>1772</v>
      </c>
      <c r="J1183">
        <v>24</v>
      </c>
      <c r="K1183" t="s">
        <v>1595</v>
      </c>
      <c r="L1183" t="s">
        <v>1597</v>
      </c>
      <c r="M1183" t="str">
        <f>IF(Table1[[#This Row],[Quantity]]&gt;2,"Bulk Order","Normal Order")</f>
        <v>Bulk Order</v>
      </c>
      <c r="N1183" t="str">
        <f>_xlfn.CONCAT(Table1[[#This Row],[Category]],"-",Table1[[#This Row],[City]])</f>
        <v>Home-Bangalore</v>
      </c>
      <c r="O1183" t="str">
        <f>LEFT(Table1[[#This Row],[Category]],3)</f>
        <v>Hom</v>
      </c>
      <c r="P1183" s="2"/>
    </row>
    <row r="1184" spans="1:16" x14ac:dyDescent="0.35">
      <c r="A1184" t="s">
        <v>1194</v>
      </c>
      <c r="B1184" t="s">
        <v>1222</v>
      </c>
      <c r="C1184" t="s">
        <v>1226</v>
      </c>
      <c r="D1184">
        <v>288</v>
      </c>
      <c r="E1184">
        <v>2</v>
      </c>
      <c r="F1184" t="s">
        <v>1302</v>
      </c>
      <c r="G1184" t="s">
        <v>1588</v>
      </c>
      <c r="H1184" t="s">
        <v>1593</v>
      </c>
      <c r="I1184">
        <v>576</v>
      </c>
      <c r="J1184">
        <v>27</v>
      </c>
      <c r="K1184" t="s">
        <v>1594</v>
      </c>
      <c r="L1184" t="s">
        <v>1598</v>
      </c>
      <c r="M1184" t="str">
        <f>IF(Table1[[#This Row],[Quantity]]&gt;2,"Bulk Order","Normal Order")</f>
        <v>Normal Order</v>
      </c>
      <c r="N1184" t="str">
        <f>_xlfn.CONCAT(Table1[[#This Row],[Category]],"-",Table1[[#This Row],[City]])</f>
        <v>Home-Delhi</v>
      </c>
      <c r="O1184" t="str">
        <f>LEFT(Table1[[#This Row],[Category]],3)</f>
        <v>Hom</v>
      </c>
      <c r="P1184" s="2"/>
    </row>
    <row r="1185" spans="1:16" x14ac:dyDescent="0.35">
      <c r="A1185" t="s">
        <v>1195</v>
      </c>
      <c r="B1185" t="s">
        <v>1217</v>
      </c>
      <c r="C1185" t="s">
        <v>1228</v>
      </c>
      <c r="D1185">
        <v>1460</v>
      </c>
      <c r="E1185">
        <v>3</v>
      </c>
      <c r="F1185" t="s">
        <v>1314</v>
      </c>
      <c r="G1185" t="s">
        <v>1588</v>
      </c>
      <c r="H1185" t="s">
        <v>1592</v>
      </c>
      <c r="I1185">
        <v>4380</v>
      </c>
      <c r="J1185">
        <v>47</v>
      </c>
      <c r="K1185" t="s">
        <v>1595</v>
      </c>
      <c r="L1185" t="s">
        <v>1599</v>
      </c>
      <c r="M1185" t="str">
        <f>IF(Table1[[#This Row],[Quantity]]&gt;2,"Bulk Order","Normal Order")</f>
        <v>Bulk Order</v>
      </c>
      <c r="N1185" t="str">
        <f>_xlfn.CONCAT(Table1[[#This Row],[Category]],"-",Table1[[#This Row],[City]])</f>
        <v>Electronics-Delhi</v>
      </c>
      <c r="O1185" t="str">
        <f>LEFT(Table1[[#This Row],[Category]],3)</f>
        <v>Ele</v>
      </c>
      <c r="P1185" s="2"/>
    </row>
    <row r="1186" spans="1:16" x14ac:dyDescent="0.35">
      <c r="A1186" t="s">
        <v>1196</v>
      </c>
      <c r="B1186" t="s">
        <v>1223</v>
      </c>
      <c r="C1186" t="s">
        <v>1228</v>
      </c>
      <c r="D1186">
        <v>4629</v>
      </c>
      <c r="E1186">
        <v>2</v>
      </c>
      <c r="F1186" t="s">
        <v>1461</v>
      </c>
      <c r="G1186" t="s">
        <v>1586</v>
      </c>
      <c r="H1186" t="s">
        <v>1590</v>
      </c>
      <c r="I1186">
        <v>9258</v>
      </c>
      <c r="J1186">
        <v>87</v>
      </c>
      <c r="K1186" t="s">
        <v>1595</v>
      </c>
      <c r="L1186" t="s">
        <v>1599</v>
      </c>
      <c r="M1186" t="str">
        <f>IF(Table1[[#This Row],[Quantity]]&gt;2,"Bulk Order","Normal Order")</f>
        <v>Normal Order</v>
      </c>
      <c r="N1186" t="str">
        <f>_xlfn.CONCAT(Table1[[#This Row],[Category]],"-",Table1[[#This Row],[City]])</f>
        <v>Electronics-Hyderabad</v>
      </c>
      <c r="O1186" t="str">
        <f>LEFT(Table1[[#This Row],[Category]],3)</f>
        <v>Ele</v>
      </c>
      <c r="P1186" s="2"/>
    </row>
    <row r="1187" spans="1:16" x14ac:dyDescent="0.35">
      <c r="A1187" t="s">
        <v>1197</v>
      </c>
      <c r="B1187" t="s">
        <v>1223</v>
      </c>
      <c r="C1187" t="s">
        <v>1225</v>
      </c>
      <c r="D1187">
        <v>2526</v>
      </c>
      <c r="E1187">
        <v>4</v>
      </c>
      <c r="F1187" t="s">
        <v>1536</v>
      </c>
      <c r="G1187" t="s">
        <v>1587</v>
      </c>
      <c r="H1187" t="s">
        <v>1590</v>
      </c>
      <c r="I1187">
        <v>10104</v>
      </c>
      <c r="J1187">
        <v>96</v>
      </c>
      <c r="K1187" t="s">
        <v>1594</v>
      </c>
      <c r="L1187" t="s">
        <v>1597</v>
      </c>
      <c r="M1187" t="str">
        <f>IF(Table1[[#This Row],[Quantity]]&gt;2,"Bulk Order","Normal Order")</f>
        <v>Bulk Order</v>
      </c>
      <c r="N1187" t="str">
        <f>_xlfn.CONCAT(Table1[[#This Row],[Category]],"-",Table1[[#This Row],[City]])</f>
        <v>Fitness-Mumbai</v>
      </c>
      <c r="O1187" t="str">
        <f>LEFT(Table1[[#This Row],[Category]],3)</f>
        <v>Fit</v>
      </c>
      <c r="P1187" s="2"/>
    </row>
    <row r="1188" spans="1:16" x14ac:dyDescent="0.35">
      <c r="A1188" t="s">
        <v>1198</v>
      </c>
      <c r="B1188" t="s">
        <v>1223</v>
      </c>
      <c r="C1188" t="s">
        <v>1225</v>
      </c>
      <c r="D1188">
        <v>549</v>
      </c>
      <c r="E1188">
        <v>4</v>
      </c>
      <c r="F1188" t="s">
        <v>1433</v>
      </c>
      <c r="G1188" t="s">
        <v>1586</v>
      </c>
      <c r="H1188" t="s">
        <v>1593</v>
      </c>
      <c r="I1188">
        <v>2196</v>
      </c>
      <c r="J1188">
        <v>99</v>
      </c>
      <c r="K1188" t="s">
        <v>1595</v>
      </c>
      <c r="L1188" t="s">
        <v>1599</v>
      </c>
      <c r="M1188" t="str">
        <f>IF(Table1[[#This Row],[Quantity]]&gt;2,"Bulk Order","Normal Order")</f>
        <v>Bulk Order</v>
      </c>
      <c r="N1188" t="str">
        <f>_xlfn.CONCAT(Table1[[#This Row],[Category]],"-",Table1[[#This Row],[City]])</f>
        <v>Fitness-Hyderabad</v>
      </c>
      <c r="O1188" t="str">
        <f>LEFT(Table1[[#This Row],[Category]],3)</f>
        <v>Fit</v>
      </c>
      <c r="P1188" s="2"/>
    </row>
    <row r="1189" spans="1:16" x14ac:dyDescent="0.35">
      <c r="A1189" t="s">
        <v>1199</v>
      </c>
      <c r="B1189" t="s">
        <v>1223</v>
      </c>
      <c r="C1189" t="s">
        <v>1225</v>
      </c>
      <c r="D1189">
        <v>1469</v>
      </c>
      <c r="E1189">
        <v>3</v>
      </c>
      <c r="F1189" t="s">
        <v>1583</v>
      </c>
      <c r="G1189" t="s">
        <v>1588</v>
      </c>
      <c r="H1189" t="s">
        <v>1591</v>
      </c>
      <c r="I1189">
        <v>4407</v>
      </c>
      <c r="J1189">
        <v>89</v>
      </c>
      <c r="K1189" t="s">
        <v>1596</v>
      </c>
      <c r="L1189" t="s">
        <v>1599</v>
      </c>
      <c r="M1189" t="str">
        <f>IF(Table1[[#This Row],[Quantity]]&gt;2,"Bulk Order","Normal Order")</f>
        <v>Bulk Order</v>
      </c>
      <c r="N1189" t="str">
        <f>_xlfn.CONCAT(Table1[[#This Row],[Category]],"-",Table1[[#This Row],[City]])</f>
        <v>Fitness-Delhi</v>
      </c>
      <c r="O1189" t="str">
        <f>LEFT(Table1[[#This Row],[Category]],3)</f>
        <v>Fit</v>
      </c>
      <c r="P1189" s="2"/>
    </row>
    <row r="1190" spans="1:16" x14ac:dyDescent="0.35">
      <c r="A1190" t="s">
        <v>1200</v>
      </c>
      <c r="B1190" t="s">
        <v>1217</v>
      </c>
      <c r="C1190" t="s">
        <v>1228</v>
      </c>
      <c r="D1190">
        <v>4002</v>
      </c>
      <c r="E1190">
        <v>3</v>
      </c>
      <c r="F1190" t="s">
        <v>1506</v>
      </c>
      <c r="G1190" t="s">
        <v>1588</v>
      </c>
      <c r="H1190" t="s">
        <v>1590</v>
      </c>
      <c r="I1190">
        <v>12006</v>
      </c>
      <c r="J1190">
        <v>56</v>
      </c>
      <c r="K1190" t="s">
        <v>1595</v>
      </c>
      <c r="L1190" t="s">
        <v>1599</v>
      </c>
      <c r="M1190" t="str">
        <f>IF(Table1[[#This Row],[Quantity]]&gt;2,"Bulk Order","Normal Order")</f>
        <v>Bulk Order</v>
      </c>
      <c r="N1190" t="str">
        <f>_xlfn.CONCAT(Table1[[#This Row],[Category]],"-",Table1[[#This Row],[City]])</f>
        <v>Electronics-Delhi</v>
      </c>
      <c r="O1190" t="str">
        <f>LEFT(Table1[[#This Row],[Category]],3)</f>
        <v>Ele</v>
      </c>
      <c r="P1190" s="2"/>
    </row>
    <row r="1191" spans="1:16" x14ac:dyDescent="0.35">
      <c r="A1191" t="s">
        <v>1201</v>
      </c>
      <c r="B1191" t="s">
        <v>1213</v>
      </c>
      <c r="C1191" t="s">
        <v>1226</v>
      </c>
      <c r="D1191">
        <v>3875</v>
      </c>
      <c r="E1191">
        <v>2</v>
      </c>
      <c r="F1191" t="s">
        <v>1566</v>
      </c>
      <c r="G1191" t="s">
        <v>1584</v>
      </c>
      <c r="H1191" t="s">
        <v>1593</v>
      </c>
      <c r="I1191">
        <v>7750</v>
      </c>
      <c r="J1191">
        <v>58</v>
      </c>
      <c r="K1191" t="s">
        <v>1596</v>
      </c>
      <c r="L1191" t="s">
        <v>1597</v>
      </c>
      <c r="M1191" t="str">
        <f>IF(Table1[[#This Row],[Quantity]]&gt;2,"Bulk Order","Normal Order")</f>
        <v>Normal Order</v>
      </c>
      <c r="N1191" t="str">
        <f>_xlfn.CONCAT(Table1[[#This Row],[Category]],"-",Table1[[#This Row],[City]])</f>
        <v>Home-Chennai</v>
      </c>
      <c r="O1191" t="str">
        <f>LEFT(Table1[[#This Row],[Category]],3)</f>
        <v>Hom</v>
      </c>
      <c r="P1191" s="2"/>
    </row>
    <row r="1192" spans="1:16" x14ac:dyDescent="0.35">
      <c r="A1192" t="s">
        <v>1202</v>
      </c>
      <c r="B1192" t="s">
        <v>1217</v>
      </c>
      <c r="C1192" t="s">
        <v>1228</v>
      </c>
      <c r="D1192">
        <v>1831</v>
      </c>
      <c r="E1192">
        <v>3</v>
      </c>
      <c r="F1192" t="s">
        <v>1303</v>
      </c>
      <c r="G1192" t="s">
        <v>1584</v>
      </c>
      <c r="H1192" t="s">
        <v>1592</v>
      </c>
      <c r="I1192">
        <v>5493</v>
      </c>
      <c r="J1192">
        <v>99</v>
      </c>
      <c r="K1192" t="s">
        <v>1594</v>
      </c>
      <c r="L1192" t="s">
        <v>1599</v>
      </c>
      <c r="M1192" t="str">
        <f>IF(Table1[[#This Row],[Quantity]]&gt;2,"Bulk Order","Normal Order")</f>
        <v>Bulk Order</v>
      </c>
      <c r="N1192" t="str">
        <f>_xlfn.CONCAT(Table1[[#This Row],[Category]],"-",Table1[[#This Row],[City]])</f>
        <v>Electronics-Chennai</v>
      </c>
      <c r="O1192" t="str">
        <f>LEFT(Table1[[#This Row],[Category]],3)</f>
        <v>Ele</v>
      </c>
      <c r="P1192" s="2"/>
    </row>
    <row r="1193" spans="1:16" x14ac:dyDescent="0.35">
      <c r="A1193" t="s">
        <v>1203</v>
      </c>
      <c r="B1193" t="s">
        <v>1219</v>
      </c>
      <c r="C1193" t="s">
        <v>1225</v>
      </c>
      <c r="D1193">
        <v>2770</v>
      </c>
      <c r="E1193">
        <v>2</v>
      </c>
      <c r="F1193" t="s">
        <v>1348</v>
      </c>
      <c r="G1193" t="s">
        <v>1584</v>
      </c>
      <c r="H1193" t="s">
        <v>1590</v>
      </c>
      <c r="I1193">
        <v>5540</v>
      </c>
      <c r="J1193">
        <v>29</v>
      </c>
      <c r="K1193" t="s">
        <v>1595</v>
      </c>
      <c r="L1193" t="s">
        <v>1597</v>
      </c>
      <c r="M1193" t="str">
        <f>IF(Table1[[#This Row],[Quantity]]&gt;2,"Bulk Order","Normal Order")</f>
        <v>Normal Order</v>
      </c>
      <c r="N1193" t="str">
        <f>_xlfn.CONCAT(Table1[[#This Row],[Category]],"-",Table1[[#This Row],[City]])</f>
        <v>Fitness-Chennai</v>
      </c>
      <c r="O1193" t="str">
        <f>LEFT(Table1[[#This Row],[Category]],3)</f>
        <v>Fit</v>
      </c>
      <c r="P1193" s="2"/>
    </row>
    <row r="1194" spans="1:16" x14ac:dyDescent="0.35">
      <c r="A1194" t="s">
        <v>1204</v>
      </c>
      <c r="B1194" t="s">
        <v>1213</v>
      </c>
      <c r="C1194" t="s">
        <v>1226</v>
      </c>
      <c r="D1194">
        <v>1098</v>
      </c>
      <c r="E1194">
        <v>3</v>
      </c>
      <c r="F1194" t="s">
        <v>1437</v>
      </c>
      <c r="G1194" t="s">
        <v>1589</v>
      </c>
      <c r="H1194" t="s">
        <v>1593</v>
      </c>
      <c r="I1194">
        <v>3294</v>
      </c>
      <c r="J1194">
        <v>56</v>
      </c>
      <c r="K1194" t="s">
        <v>1595</v>
      </c>
      <c r="L1194" t="s">
        <v>1597</v>
      </c>
      <c r="M1194" t="str">
        <f>IF(Table1[[#This Row],[Quantity]]&gt;2,"Bulk Order","Normal Order")</f>
        <v>Bulk Order</v>
      </c>
      <c r="N1194" t="str">
        <f>_xlfn.CONCAT(Table1[[#This Row],[Category]],"-",Table1[[#This Row],[City]])</f>
        <v>Home-Bangalore</v>
      </c>
      <c r="O1194" t="str">
        <f>LEFT(Table1[[#This Row],[Category]],3)</f>
        <v>Hom</v>
      </c>
      <c r="P1194" s="2"/>
    </row>
    <row r="1195" spans="1:16" x14ac:dyDescent="0.35">
      <c r="A1195" t="s">
        <v>1205</v>
      </c>
      <c r="B1195" t="s">
        <v>1222</v>
      </c>
      <c r="C1195" t="s">
        <v>1224</v>
      </c>
      <c r="D1195">
        <v>2275</v>
      </c>
      <c r="E1195">
        <v>2</v>
      </c>
      <c r="F1195" t="s">
        <v>1562</v>
      </c>
      <c r="G1195" t="s">
        <v>1585</v>
      </c>
      <c r="H1195" t="s">
        <v>1593</v>
      </c>
      <c r="I1195">
        <v>4550</v>
      </c>
      <c r="J1195">
        <v>64</v>
      </c>
      <c r="K1195" t="s">
        <v>1595</v>
      </c>
      <c r="L1195" t="s">
        <v>1599</v>
      </c>
      <c r="M1195" t="str">
        <f>IF(Table1[[#This Row],[Quantity]]&gt;2,"Bulk Order","Normal Order")</f>
        <v>Normal Order</v>
      </c>
      <c r="N1195" t="str">
        <f>_xlfn.CONCAT(Table1[[#This Row],[Category]],"-",Table1[[#This Row],[City]])</f>
        <v>Lifestyle-Kolkata</v>
      </c>
      <c r="O1195" t="str">
        <f>LEFT(Table1[[#This Row],[Category]],3)</f>
        <v>Lif</v>
      </c>
      <c r="P1195" s="2"/>
    </row>
    <row r="1196" spans="1:16" x14ac:dyDescent="0.35">
      <c r="A1196" t="s">
        <v>1206</v>
      </c>
      <c r="B1196" t="s">
        <v>1218</v>
      </c>
      <c r="C1196" t="s">
        <v>1224</v>
      </c>
      <c r="D1196">
        <v>1663</v>
      </c>
      <c r="E1196">
        <v>2</v>
      </c>
      <c r="F1196" t="s">
        <v>1384</v>
      </c>
      <c r="G1196" t="s">
        <v>1586</v>
      </c>
      <c r="H1196" t="s">
        <v>1591</v>
      </c>
      <c r="I1196">
        <v>3326</v>
      </c>
      <c r="J1196">
        <v>61</v>
      </c>
      <c r="K1196" t="s">
        <v>1595</v>
      </c>
      <c r="L1196" t="s">
        <v>1599</v>
      </c>
      <c r="M1196" t="str">
        <f>IF(Table1[[#This Row],[Quantity]]&gt;2,"Bulk Order","Normal Order")</f>
        <v>Normal Order</v>
      </c>
      <c r="N1196" t="str">
        <f>_xlfn.CONCAT(Table1[[#This Row],[Category]],"-",Table1[[#This Row],[City]])</f>
        <v>Lifestyle-Hyderabad</v>
      </c>
      <c r="O1196" t="str">
        <f>LEFT(Table1[[#This Row],[Category]],3)</f>
        <v>Lif</v>
      </c>
      <c r="P1196" s="2"/>
    </row>
    <row r="1197" spans="1:16" x14ac:dyDescent="0.35">
      <c r="A1197" t="s">
        <v>1207</v>
      </c>
      <c r="B1197" t="s">
        <v>1223</v>
      </c>
      <c r="C1197" t="s">
        <v>1224</v>
      </c>
      <c r="D1197">
        <v>601</v>
      </c>
      <c r="E1197">
        <v>3</v>
      </c>
      <c r="F1197" t="s">
        <v>1230</v>
      </c>
      <c r="G1197" t="s">
        <v>1586</v>
      </c>
      <c r="H1197" t="s">
        <v>1591</v>
      </c>
      <c r="I1197">
        <v>1803</v>
      </c>
      <c r="J1197">
        <v>36</v>
      </c>
      <c r="K1197" t="s">
        <v>1595</v>
      </c>
      <c r="L1197" t="s">
        <v>1599</v>
      </c>
      <c r="M1197" t="str">
        <f>IF(Table1[[#This Row],[Quantity]]&gt;2,"Bulk Order","Normal Order")</f>
        <v>Bulk Order</v>
      </c>
      <c r="N1197" t="str">
        <f>_xlfn.CONCAT(Table1[[#This Row],[Category]],"-",Table1[[#This Row],[City]])</f>
        <v>Lifestyle-Hyderabad</v>
      </c>
      <c r="O1197" t="str">
        <f>LEFT(Table1[[#This Row],[Category]],3)</f>
        <v>Lif</v>
      </c>
      <c r="P1197" s="2"/>
    </row>
    <row r="1198" spans="1:16" x14ac:dyDescent="0.35">
      <c r="A1198" t="s">
        <v>1208</v>
      </c>
      <c r="B1198" t="s">
        <v>1223</v>
      </c>
      <c r="C1198" t="s">
        <v>1227</v>
      </c>
      <c r="D1198">
        <v>259</v>
      </c>
      <c r="E1198">
        <v>1</v>
      </c>
      <c r="F1198" t="s">
        <v>1513</v>
      </c>
      <c r="G1198" t="s">
        <v>1584</v>
      </c>
      <c r="H1198" t="s">
        <v>1593</v>
      </c>
      <c r="I1198">
        <v>259</v>
      </c>
      <c r="J1198">
        <v>21</v>
      </c>
      <c r="K1198" t="s">
        <v>1594</v>
      </c>
      <c r="L1198" t="s">
        <v>1599</v>
      </c>
      <c r="M1198" t="str">
        <f>IF(Table1[[#This Row],[Quantity]]&gt;2,"Bulk Order","Normal Order")</f>
        <v>Normal Order</v>
      </c>
      <c r="N1198" t="str">
        <f>_xlfn.CONCAT(Table1[[#This Row],[Category]],"-",Table1[[#This Row],[City]])</f>
        <v>Accessories-Chennai</v>
      </c>
      <c r="O1198" t="str">
        <f>LEFT(Table1[[#This Row],[Category]],3)</f>
        <v>Acc</v>
      </c>
      <c r="P1198" s="2"/>
    </row>
    <row r="1199" spans="1:16" x14ac:dyDescent="0.35">
      <c r="A1199" t="s">
        <v>1209</v>
      </c>
      <c r="B1199" t="s">
        <v>1223</v>
      </c>
      <c r="C1199" t="s">
        <v>1225</v>
      </c>
      <c r="D1199">
        <v>2870</v>
      </c>
      <c r="E1199">
        <v>2</v>
      </c>
      <c r="F1199" t="s">
        <v>1389</v>
      </c>
      <c r="G1199" t="s">
        <v>1588</v>
      </c>
      <c r="H1199" t="s">
        <v>1593</v>
      </c>
      <c r="I1199">
        <v>5740</v>
      </c>
      <c r="J1199">
        <v>74</v>
      </c>
      <c r="K1199" t="s">
        <v>1595</v>
      </c>
      <c r="L1199" t="s">
        <v>1597</v>
      </c>
      <c r="M1199" t="str">
        <f>IF(Table1[[#This Row],[Quantity]]&gt;2,"Bulk Order","Normal Order")</f>
        <v>Normal Order</v>
      </c>
      <c r="N1199" t="str">
        <f>_xlfn.CONCAT(Table1[[#This Row],[Category]],"-",Table1[[#This Row],[City]])</f>
        <v>Fitness-Delhi</v>
      </c>
      <c r="O1199" t="str">
        <f>LEFT(Table1[[#This Row],[Category]],3)</f>
        <v>Fit</v>
      </c>
      <c r="P1199" s="2"/>
    </row>
    <row r="1200" spans="1:16" x14ac:dyDescent="0.35">
      <c r="A1200" t="s">
        <v>1210</v>
      </c>
      <c r="B1200" t="s">
        <v>1221</v>
      </c>
      <c r="C1200" t="s">
        <v>1226</v>
      </c>
      <c r="D1200">
        <v>1675</v>
      </c>
      <c r="E1200">
        <v>4</v>
      </c>
      <c r="F1200" t="s">
        <v>1344</v>
      </c>
      <c r="G1200" t="s">
        <v>1589</v>
      </c>
      <c r="H1200" t="s">
        <v>1591</v>
      </c>
      <c r="I1200">
        <v>6700</v>
      </c>
      <c r="J1200">
        <v>99</v>
      </c>
      <c r="K1200" t="s">
        <v>1596</v>
      </c>
      <c r="L1200" t="s">
        <v>1598</v>
      </c>
      <c r="M1200" t="str">
        <f>IF(Table1[[#This Row],[Quantity]]&gt;2,"Bulk Order","Normal Order")</f>
        <v>Bulk Order</v>
      </c>
      <c r="N1200" t="str">
        <f>_xlfn.CONCAT(Table1[[#This Row],[Category]],"-",Table1[[#This Row],[City]])</f>
        <v>Home-Bangalore</v>
      </c>
      <c r="O1200" t="str">
        <f>LEFT(Table1[[#This Row],[Category]],3)</f>
        <v>Hom</v>
      </c>
      <c r="P1200" s="2"/>
    </row>
    <row r="1201" spans="1:16" x14ac:dyDescent="0.35">
      <c r="A1201" t="s">
        <v>1211</v>
      </c>
      <c r="B1201" t="s">
        <v>1219</v>
      </c>
      <c r="C1201" t="s">
        <v>1227</v>
      </c>
      <c r="D1201">
        <v>4645</v>
      </c>
      <c r="E1201">
        <v>3</v>
      </c>
      <c r="F1201" t="s">
        <v>1350</v>
      </c>
      <c r="G1201" t="s">
        <v>1586</v>
      </c>
      <c r="H1201" t="s">
        <v>1593</v>
      </c>
      <c r="I1201">
        <v>13935</v>
      </c>
      <c r="J1201">
        <v>91</v>
      </c>
      <c r="K1201" t="s">
        <v>1595</v>
      </c>
      <c r="L1201" t="s">
        <v>1598</v>
      </c>
      <c r="M1201" t="str">
        <f>IF(Table1[[#This Row],[Quantity]]&gt;2,"Bulk Order","Normal Order")</f>
        <v>Bulk Order</v>
      </c>
      <c r="N1201" t="str">
        <f>_xlfn.CONCAT(Table1[[#This Row],[Category]],"-",Table1[[#This Row],[City]])</f>
        <v>Accessories-Hyderabad</v>
      </c>
      <c r="O1201" t="str">
        <f>LEFT(Table1[[#This Row],[Category]],3)</f>
        <v>Acc</v>
      </c>
      <c r="P1201" s="2"/>
    </row>
  </sheetData>
  <phoneticPr fontId="2" type="noConversion"/>
  <conditionalFormatting sqref="Y12">
    <cfRule type="expression" dxfId="4" priority="8">
      <formula>"quantity&gt;2"</formula>
    </cfRule>
  </conditionalFormatting>
  <conditionalFormatting sqref="A1:P1201">
    <cfRule type="expression" priority="3">
      <formula>$K2="Delivered"</formula>
    </cfRule>
    <cfRule type="expression" priority="4">
      <formula>delivery_status="Delivered"</formula>
    </cfRule>
    <cfRule type="expression" dxfId="3" priority="7">
      <formula>"quantity&gt;2"</formula>
    </cfRule>
  </conditionalFormatting>
  <conditionalFormatting sqref="E1:E1201">
    <cfRule type="cellIs" dxfId="2" priority="5" operator="greaterThan">
      <formula>2.5</formula>
    </cfRule>
    <cfRule type="cellIs" dxfId="1" priority="6" operator="greaterThan">
      <formula>2</formula>
    </cfRule>
  </conditionalFormatting>
  <conditionalFormatting sqref="A2:O1201">
    <cfRule type="expression" dxfId="0" priority="1">
      <formula>$K2="pending"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AMAZON_SALES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Subramani G</cp:lastModifiedBy>
  <dcterms:created xsi:type="dcterms:W3CDTF">2025-11-20T08:19:52Z</dcterms:created>
  <dcterms:modified xsi:type="dcterms:W3CDTF">2025-11-23T09:33:49Z</dcterms:modified>
</cp:coreProperties>
</file>